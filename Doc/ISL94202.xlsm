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drawings/drawing5.xml" ContentType="application/vnd.openxmlformats-officedocument.drawing+xml"/>
  <Override PartName="/xl/activeX/activeX5.xml" ContentType="application/vnd.ms-office.activeX+xml"/>
  <Override PartName="/xl/activeX/activeX5.bin" ContentType="application/vnd.ms-office.activeX"/>
  <Override PartName="/xl/drawings/drawing6.xml" ContentType="application/vnd.openxmlformats-officedocument.drawing+xml"/>
  <Override PartName="/xl/activeX/activeX6.xml" ContentType="application/vnd.ms-office.activeX+xml"/>
  <Override PartName="/xl/activeX/activeX6.bin" ContentType="application/vnd.ms-office.activeX"/>
  <Override PartName="/xl/drawings/drawing7.xml" ContentType="application/vnd.openxmlformats-officedocument.drawing+xml"/>
  <Override PartName="/xl/activeX/activeX7.xml" ContentType="application/vnd.ms-office.activeX+xml"/>
  <Override PartName="/xl/activeX/activeX7.bin" ContentType="application/vnd.ms-office.activeX"/>
  <Override PartName="/xl/drawings/drawing8.xml" ContentType="application/vnd.openxmlformats-officedocument.drawing+xml"/>
  <Override PartName="/xl/embeddings/oleObject1.bin" ContentType="application/vnd.openxmlformats-officedocument.oleObject"/>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328" codeName="{E757BCB4-07E6-AE0B-56E0-F0EEF7A6E26C}"/>
  <workbookPr codeName="ThisWorkbook"/>
  <mc:AlternateContent xmlns:mc="http://schemas.openxmlformats.org/markup-compatibility/2006">
    <mc:Choice Requires="x15">
      <x15ac:absPath xmlns:x15ac="http://schemas.microsoft.com/office/spreadsheetml/2010/11/ac" url="F:\GitKraken\Wibar_BMS_STM32L4\Doc\"/>
    </mc:Choice>
  </mc:AlternateContent>
  <xr:revisionPtr revIDLastSave="0" documentId="13_ncr:1_{E9E1A254-91CB-4EBB-8A71-0B5C86D9FA43}" xr6:coauthVersionLast="47" xr6:coauthVersionMax="47" xr10:uidLastSave="{00000000-0000-0000-0000-000000000000}"/>
  <bookViews>
    <workbookView xWindow="14895" yWindow="-21600" windowWidth="26010" windowHeight="21705" xr2:uid="{00000000-000D-0000-FFFF-FFFF00000000}"/>
  </bookViews>
  <sheets>
    <sheet name="BMS ISL MAREK" sheetId="11" r:id="rId1"/>
    <sheet name="BMS-tylko ze bez BMS" sheetId="10" r:id="rId2"/>
    <sheet name="Introduction" sheetId="3" r:id="rId3"/>
    <sheet name="Reg Table" sheetId="1" r:id="rId4"/>
    <sheet name="Reg Table - co tam u jacka" sheetId="6" r:id="rId5"/>
    <sheet name="Reg Table - Łowicz" sheetId="8" r:id="rId6"/>
    <sheet name="Reg Table - Nasze testy" sheetId="7" r:id="rId7"/>
    <sheet name="Reg Table - Zwarcie" sheetId="5" r:id="rId8"/>
    <sheet name="Variables" sheetId="2" r:id="rId9"/>
    <sheet name="License Agreement" sheetId="4" r:id="rId10"/>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V5" i="11" l="1"/>
  <c r="V151" i="11"/>
  <c r="V152" i="11"/>
  <c r="V154" i="11"/>
  <c r="V155" i="11"/>
  <c r="V157" i="11"/>
  <c r="V158" i="11"/>
  <c r="V159" i="11"/>
  <c r="V161" i="11"/>
  <c r="V162" i="11"/>
  <c r="V163" i="11"/>
  <c r="V164" i="11"/>
  <c r="V165" i="11"/>
  <c r="V166" i="11"/>
  <c r="V167" i="11"/>
  <c r="V168" i="11"/>
  <c r="V170" i="11"/>
  <c r="V171" i="11"/>
  <c r="V172" i="11"/>
  <c r="V6" i="11"/>
  <c r="V7" i="11"/>
  <c r="V8" i="11"/>
  <c r="V9" i="11"/>
  <c r="V10" i="11"/>
  <c r="V11" i="11"/>
  <c r="V12" i="11"/>
  <c r="V13" i="11"/>
  <c r="V14" i="11"/>
  <c r="V15" i="11"/>
  <c r="V16" i="11"/>
  <c r="V17" i="11"/>
  <c r="V18" i="11"/>
  <c r="V19" i="11"/>
  <c r="V20" i="11"/>
  <c r="V21" i="11"/>
  <c r="V22" i="11"/>
  <c r="V23" i="11"/>
  <c r="V24" i="11"/>
  <c r="V25" i="11"/>
  <c r="V26" i="11"/>
  <c r="V27" i="11"/>
  <c r="V28" i="11"/>
  <c r="V29" i="11"/>
  <c r="V30" i="11"/>
  <c r="V31" i="11"/>
  <c r="V32" i="11"/>
  <c r="V33" i="11"/>
  <c r="V34" i="11"/>
  <c r="V35" i="11"/>
  <c r="V36" i="11"/>
  <c r="V37" i="11"/>
  <c r="V38" i="11"/>
  <c r="V39" i="11"/>
  <c r="V40" i="11"/>
  <c r="V41" i="11"/>
  <c r="V42" i="11"/>
  <c r="V43" i="11"/>
  <c r="V44" i="11"/>
  <c r="V45" i="11"/>
  <c r="V46" i="11"/>
  <c r="V47" i="11"/>
  <c r="V48" i="11"/>
  <c r="V49" i="11"/>
  <c r="V50" i="11"/>
  <c r="V51" i="11"/>
  <c r="V52" i="11"/>
  <c r="V53" i="11"/>
  <c r="V54" i="11"/>
  <c r="V55" i="11"/>
  <c r="V56" i="11"/>
  <c r="V57" i="11"/>
  <c r="V58" i="11"/>
  <c r="V59" i="11"/>
  <c r="V60" i="11"/>
  <c r="V61" i="11"/>
  <c r="V62" i="11"/>
  <c r="V64" i="11"/>
  <c r="V65" i="11"/>
  <c r="V67" i="11"/>
  <c r="V69" i="11"/>
  <c r="V71" i="11"/>
  <c r="V73" i="11"/>
  <c r="V74" i="11"/>
  <c r="V75" i="11"/>
  <c r="V76" i="11"/>
  <c r="V77" i="11"/>
  <c r="V79" i="11"/>
  <c r="V81" i="11"/>
  <c r="V82" i="11"/>
  <c r="V84" i="11"/>
  <c r="V86" i="11"/>
  <c r="V87" i="11"/>
  <c r="V89" i="11"/>
  <c r="V91" i="11"/>
  <c r="V92" i="11"/>
  <c r="V93" i="11"/>
  <c r="V94" i="11"/>
  <c r="V95" i="11"/>
  <c r="V96" i="11"/>
  <c r="V97" i="11"/>
  <c r="V98" i="11"/>
  <c r="V99" i="11"/>
  <c r="V100" i="11"/>
  <c r="V101" i="11"/>
  <c r="V102" i="11"/>
  <c r="V103" i="11"/>
  <c r="V104" i="11"/>
  <c r="V105" i="11"/>
  <c r="V106" i="11"/>
  <c r="V107" i="11"/>
  <c r="V108" i="11"/>
  <c r="V109" i="11"/>
  <c r="V110" i="11"/>
  <c r="V111" i="11"/>
  <c r="V112" i="11"/>
  <c r="V113" i="11"/>
  <c r="V114" i="11"/>
  <c r="V115" i="11"/>
  <c r="V116" i="11"/>
  <c r="V117" i="11"/>
  <c r="V119" i="11"/>
  <c r="V120" i="11"/>
  <c r="V121" i="11"/>
  <c r="V122" i="11"/>
  <c r="V123" i="11"/>
  <c r="V124" i="11"/>
  <c r="V125" i="11"/>
  <c r="V126" i="11"/>
  <c r="V127" i="11"/>
  <c r="V128" i="11"/>
  <c r="V129" i="11"/>
  <c r="V130" i="11"/>
  <c r="V131" i="11"/>
  <c r="V132" i="11"/>
  <c r="V133" i="11"/>
  <c r="V134" i="11"/>
  <c r="V135" i="11"/>
  <c r="V136" i="11"/>
  <c r="V137" i="11"/>
  <c r="V138" i="11"/>
  <c r="V139" i="11"/>
  <c r="V140" i="11"/>
  <c r="V141" i="11"/>
  <c r="V142" i="11"/>
  <c r="V143" i="11"/>
  <c r="V144" i="11"/>
  <c r="V145" i="11"/>
  <c r="V146" i="11"/>
  <c r="V147" i="11"/>
  <c r="V148" i="11"/>
  <c r="V149" i="11"/>
  <c r="V150" i="11"/>
  <c r="V118" i="11"/>
  <c r="E120" i="11"/>
  <c r="P120" i="11" s="1"/>
  <c r="R120" i="11" s="1"/>
  <c r="E124" i="11"/>
  <c r="E128" i="11"/>
  <c r="E132" i="11"/>
  <c r="E136" i="11"/>
  <c r="E116" i="11"/>
  <c r="P116" i="11" s="1"/>
  <c r="E112" i="11"/>
  <c r="E108" i="11"/>
  <c r="E104" i="11"/>
  <c r="P104" i="11" s="1"/>
  <c r="E100" i="11"/>
  <c r="E96" i="11"/>
  <c r="P96" i="11" s="1"/>
  <c r="E92" i="11"/>
  <c r="N173" i="11"/>
  <c r="P173" i="11" s="1"/>
  <c r="R173" i="11" s="1"/>
  <c r="N169" i="11"/>
  <c r="P169" i="11" s="1"/>
  <c r="R169" i="11" s="1"/>
  <c r="J165" i="11"/>
  <c r="I165" i="11"/>
  <c r="H165" i="11"/>
  <c r="G165" i="11"/>
  <c r="F165" i="11"/>
  <c r="P163" i="11"/>
  <c r="R163" i="11" s="1"/>
  <c r="P161" i="11"/>
  <c r="N161" i="11"/>
  <c r="N159" i="11"/>
  <c r="P159" i="11" s="1"/>
  <c r="N157" i="11"/>
  <c r="P157" i="11" s="1"/>
  <c r="N155" i="11"/>
  <c r="P155" i="11" s="1"/>
  <c r="N152" i="11"/>
  <c r="P152" i="11" s="1"/>
  <c r="R153" i="11" s="1"/>
  <c r="P148" i="11"/>
  <c r="R150" i="11" s="1"/>
  <c r="P144" i="11"/>
  <c r="R144" i="11" s="1"/>
  <c r="N144" i="11"/>
  <c r="P140" i="11"/>
  <c r="R140" i="11" s="1"/>
  <c r="P136" i="11"/>
  <c r="R138" i="11" s="1"/>
  <c r="N136" i="11"/>
  <c r="P132" i="11"/>
  <c r="R134" i="11" s="1"/>
  <c r="P128" i="11"/>
  <c r="R130" i="11" s="1"/>
  <c r="P124" i="11"/>
  <c r="R124" i="11" s="1"/>
  <c r="P112" i="11"/>
  <c r="R114" i="11" s="1"/>
  <c r="P108" i="11"/>
  <c r="R110" i="11" s="1"/>
  <c r="P100" i="11"/>
  <c r="R100" i="11" s="1"/>
  <c r="P92" i="11"/>
  <c r="R94" i="11" s="1"/>
  <c r="N90" i="11"/>
  <c r="P90" i="11" s="1"/>
  <c r="N87" i="11"/>
  <c r="P87" i="11" s="1"/>
  <c r="R88" i="11" s="1"/>
  <c r="N85" i="11"/>
  <c r="P85" i="11" s="1"/>
  <c r="N82" i="11"/>
  <c r="P82" i="11" s="1"/>
  <c r="R83" i="11" s="1"/>
  <c r="P78" i="11"/>
  <c r="R80" i="11" s="1"/>
  <c r="P74" i="11"/>
  <c r="R76" i="11" s="1"/>
  <c r="P70" i="11"/>
  <c r="R72" i="11" s="1"/>
  <c r="T72" i="11" s="1"/>
  <c r="N70" i="11"/>
  <c r="P66" i="11"/>
  <c r="R68" i="11" s="1"/>
  <c r="N66" i="11"/>
  <c r="P64" i="11"/>
  <c r="N64" i="11"/>
  <c r="N63" i="11"/>
  <c r="O61" i="11" s="1"/>
  <c r="N61" i="11"/>
  <c r="P61" i="11" s="1"/>
  <c r="P59" i="11"/>
  <c r="N59" i="11"/>
  <c r="N58" i="11"/>
  <c r="O56" i="11" s="1"/>
  <c r="N56" i="11"/>
  <c r="P56" i="11" s="1"/>
  <c r="R56" i="11" s="1"/>
  <c r="P54" i="11"/>
  <c r="N54" i="11"/>
  <c r="N53" i="11"/>
  <c r="O51" i="11" s="1"/>
  <c r="N51" i="11"/>
  <c r="P51" i="11" s="1"/>
  <c r="R51" i="11" s="1"/>
  <c r="P49" i="11"/>
  <c r="N49" i="11"/>
  <c r="O47" i="11"/>
  <c r="N47" i="11"/>
  <c r="P47" i="11" s="1"/>
  <c r="R46" i="11" s="1"/>
  <c r="N45" i="11"/>
  <c r="P45" i="11" s="1"/>
  <c r="N42" i="11"/>
  <c r="P42" i="11" s="1"/>
  <c r="R41" i="11" s="1"/>
  <c r="N40" i="11"/>
  <c r="P40" i="11" s="1"/>
  <c r="N37" i="11"/>
  <c r="P37" i="11" s="1"/>
  <c r="R37" i="11" s="1"/>
  <c r="P33" i="11"/>
  <c r="R35" i="11" s="1"/>
  <c r="P29" i="11"/>
  <c r="R31" i="11" s="1"/>
  <c r="P25" i="11"/>
  <c r="N25" i="11" s="1"/>
  <c r="P21" i="11"/>
  <c r="R23" i="11" s="1"/>
  <c r="P17" i="11"/>
  <c r="R19" i="11" s="1"/>
  <c r="N15" i="11"/>
  <c r="P15" i="11" s="1"/>
  <c r="P13" i="11"/>
  <c r="R13" i="11" s="1"/>
  <c r="P10" i="11"/>
  <c r="R11" i="11" s="1"/>
  <c r="P8" i="11"/>
  <c r="N8" i="11"/>
  <c r="P6" i="11"/>
  <c r="R5" i="11" s="1"/>
  <c r="P173" i="10"/>
  <c r="R173" i="10" s="1"/>
  <c r="N173" i="10"/>
  <c r="N169" i="10"/>
  <c r="P169" i="10" s="1"/>
  <c r="R169" i="10" s="1"/>
  <c r="J165" i="10"/>
  <c r="I165" i="10"/>
  <c r="H165" i="10"/>
  <c r="G165" i="10"/>
  <c r="F165" i="10"/>
  <c r="P163" i="10"/>
  <c r="R163" i="10" s="1"/>
  <c r="P161" i="10"/>
  <c r="N161" i="10"/>
  <c r="N159" i="10"/>
  <c r="P159" i="10" s="1"/>
  <c r="R160" i="10" s="1"/>
  <c r="N157" i="10"/>
  <c r="P157" i="10" s="1"/>
  <c r="N155" i="10"/>
  <c r="O152" i="10" s="1"/>
  <c r="N152" i="10"/>
  <c r="P152" i="10" s="1"/>
  <c r="R153" i="10" s="1"/>
  <c r="P148" i="10"/>
  <c r="R150" i="10" s="1"/>
  <c r="P144" i="10"/>
  <c r="R144" i="10" s="1"/>
  <c r="N144" i="10"/>
  <c r="P140" i="10"/>
  <c r="R140" i="10" s="1"/>
  <c r="P136" i="10"/>
  <c r="P132" i="10"/>
  <c r="R134" i="10" s="1"/>
  <c r="N132" i="10"/>
  <c r="R130" i="10"/>
  <c r="S130" i="10" s="1"/>
  <c r="P128" i="10"/>
  <c r="R128" i="10" s="1"/>
  <c r="P124" i="10"/>
  <c r="P120" i="10"/>
  <c r="P116" i="10"/>
  <c r="R118" i="10" s="1"/>
  <c r="P112" i="10"/>
  <c r="R112" i="10" s="1"/>
  <c r="P108" i="10"/>
  <c r="P104" i="10"/>
  <c r="P100" i="10"/>
  <c r="R102" i="10" s="1"/>
  <c r="P96" i="10"/>
  <c r="R96" i="10" s="1"/>
  <c r="P92" i="10"/>
  <c r="N90" i="10"/>
  <c r="P90" i="10" s="1"/>
  <c r="N87" i="10"/>
  <c r="P87" i="10" s="1"/>
  <c r="R88" i="10" s="1"/>
  <c r="N85" i="10"/>
  <c r="P85" i="10" s="1"/>
  <c r="R85" i="10" s="1"/>
  <c r="O82" i="10"/>
  <c r="N82" i="10"/>
  <c r="P82" i="10" s="1"/>
  <c r="R83" i="10" s="1"/>
  <c r="P78" i="10"/>
  <c r="R80" i="10" s="1"/>
  <c r="R76" i="10"/>
  <c r="T76" i="10" s="1"/>
  <c r="P74" i="10"/>
  <c r="R74" i="10" s="1"/>
  <c r="N74" i="10"/>
  <c r="P70" i="10"/>
  <c r="R72" i="10" s="1"/>
  <c r="P66" i="10"/>
  <c r="R68" i="10" s="1"/>
  <c r="N66" i="10"/>
  <c r="P64" i="10"/>
  <c r="N64" i="10"/>
  <c r="N63" i="10"/>
  <c r="O61" i="10" s="1"/>
  <c r="N61" i="10"/>
  <c r="P61" i="10" s="1"/>
  <c r="R61" i="10" s="1"/>
  <c r="P59" i="10"/>
  <c r="N59" i="10"/>
  <c r="N58" i="10"/>
  <c r="O56" i="10" s="1"/>
  <c r="N56" i="10"/>
  <c r="P56" i="10" s="1"/>
  <c r="R56" i="10" s="1"/>
  <c r="P54" i="10"/>
  <c r="N54" i="10"/>
  <c r="N53" i="10"/>
  <c r="O51" i="10" s="1"/>
  <c r="N51" i="10"/>
  <c r="P51" i="10" s="1"/>
  <c r="R51" i="10" s="1"/>
  <c r="N49" i="10"/>
  <c r="O47" i="10" s="1"/>
  <c r="N47" i="10"/>
  <c r="P47" i="10" s="1"/>
  <c r="R46" i="10" s="1"/>
  <c r="N45" i="10"/>
  <c r="P45" i="10" s="1"/>
  <c r="N42" i="10"/>
  <c r="P42" i="10" s="1"/>
  <c r="N40" i="10"/>
  <c r="O37" i="10" s="1"/>
  <c r="N37" i="10"/>
  <c r="P37" i="10" s="1"/>
  <c r="R37" i="10" s="1"/>
  <c r="P33" i="10"/>
  <c r="R35" i="10" s="1"/>
  <c r="P29" i="10"/>
  <c r="R31" i="10" s="1"/>
  <c r="N29" i="10"/>
  <c r="R27" i="10"/>
  <c r="S27" i="10" s="1"/>
  <c r="P25" i="10"/>
  <c r="N25" i="10" s="1"/>
  <c r="P21" i="10"/>
  <c r="R21" i="10" s="1"/>
  <c r="P17" i="10"/>
  <c r="R19" i="10" s="1"/>
  <c r="P15" i="10"/>
  <c r="N15" i="10"/>
  <c r="P13" i="10"/>
  <c r="N13" i="10" s="1"/>
  <c r="P10" i="10"/>
  <c r="R9" i="10" s="1"/>
  <c r="N8" i="10"/>
  <c r="P8" i="10" s="1"/>
  <c r="P6" i="10"/>
  <c r="N6" i="10" s="1"/>
  <c r="N173" i="8"/>
  <c r="P173" i="8" s="1"/>
  <c r="R173" i="8" s="1"/>
  <c r="N169" i="8"/>
  <c r="P169" i="8" s="1"/>
  <c r="R169" i="8" s="1"/>
  <c r="J165" i="8"/>
  <c r="I165" i="8"/>
  <c r="H165" i="8"/>
  <c r="G165" i="8"/>
  <c r="F165" i="8"/>
  <c r="P163" i="8"/>
  <c r="R163" i="8" s="1"/>
  <c r="P161" i="8"/>
  <c r="N161" i="8"/>
  <c r="N159" i="8"/>
  <c r="P159" i="8" s="1"/>
  <c r="N157" i="8"/>
  <c r="P157" i="8" s="1"/>
  <c r="N155" i="8"/>
  <c r="O152" i="8" s="1"/>
  <c r="N152" i="8"/>
  <c r="P152" i="8" s="1"/>
  <c r="R153" i="8" s="1"/>
  <c r="R148" i="8"/>
  <c r="T148" i="8" s="1"/>
  <c r="P148" i="8"/>
  <c r="R150" i="8" s="1"/>
  <c r="R146" i="8"/>
  <c r="S146" i="8" s="1"/>
  <c r="R144" i="8"/>
  <c r="T144" i="8" s="1"/>
  <c r="P144" i="8"/>
  <c r="N144" i="8" s="1"/>
  <c r="P140" i="8"/>
  <c r="R140" i="8" s="1"/>
  <c r="E136" i="8"/>
  <c r="P136" i="8" s="1"/>
  <c r="E132" i="8"/>
  <c r="P132" i="8" s="1"/>
  <c r="E128" i="8"/>
  <c r="P128" i="8" s="1"/>
  <c r="E124" i="8"/>
  <c r="P124" i="8" s="1"/>
  <c r="E120" i="8"/>
  <c r="P120" i="8" s="1"/>
  <c r="E116" i="8"/>
  <c r="P116" i="8" s="1"/>
  <c r="P112" i="8"/>
  <c r="R112" i="8" s="1"/>
  <c r="N112" i="8"/>
  <c r="E112" i="8"/>
  <c r="P108" i="8"/>
  <c r="R108" i="8" s="1"/>
  <c r="E108" i="8"/>
  <c r="P104" i="8"/>
  <c r="R106" i="8" s="1"/>
  <c r="E104" i="8"/>
  <c r="E100" i="8"/>
  <c r="P100" i="8" s="1"/>
  <c r="P96" i="8"/>
  <c r="R96" i="8" s="1"/>
  <c r="E96" i="8"/>
  <c r="R94" i="8"/>
  <c r="T94" i="8" s="1"/>
  <c r="P92" i="8"/>
  <c r="R92" i="8" s="1"/>
  <c r="E92" i="8"/>
  <c r="N90" i="8"/>
  <c r="P90" i="8" s="1"/>
  <c r="N87" i="8"/>
  <c r="P87" i="8" s="1"/>
  <c r="R88" i="8" s="1"/>
  <c r="N85" i="8"/>
  <c r="O82" i="8" s="1"/>
  <c r="N82" i="8"/>
  <c r="P82" i="8" s="1"/>
  <c r="R83" i="8" s="1"/>
  <c r="T83" i="8" s="1"/>
  <c r="P78" i="8"/>
  <c r="R80" i="8" s="1"/>
  <c r="P74" i="8"/>
  <c r="R76" i="8" s="1"/>
  <c r="R72" i="8"/>
  <c r="T72" i="8" s="1"/>
  <c r="R70" i="8"/>
  <c r="S70" i="8" s="1"/>
  <c r="P70" i="8"/>
  <c r="N70" i="8" s="1"/>
  <c r="P66" i="8"/>
  <c r="R68" i="8" s="1"/>
  <c r="N66" i="8"/>
  <c r="P64" i="8"/>
  <c r="N64" i="8"/>
  <c r="N63" i="8"/>
  <c r="O61" i="8" s="1"/>
  <c r="N61" i="8"/>
  <c r="P61" i="8" s="1"/>
  <c r="R61" i="8" s="1"/>
  <c r="P59" i="8"/>
  <c r="N59" i="8"/>
  <c r="N58" i="8"/>
  <c r="O56" i="8" s="1"/>
  <c r="N56" i="8"/>
  <c r="P56" i="8" s="1"/>
  <c r="R56" i="8" s="1"/>
  <c r="P54" i="8"/>
  <c r="N54" i="8"/>
  <c r="N53" i="8"/>
  <c r="O51" i="8" s="1"/>
  <c r="N51" i="8"/>
  <c r="P51" i="8" s="1"/>
  <c r="R51" i="8" s="1"/>
  <c r="N49" i="8"/>
  <c r="O47" i="8" s="1"/>
  <c r="P47" i="8"/>
  <c r="R46" i="8" s="1"/>
  <c r="N47" i="8"/>
  <c r="N45" i="8"/>
  <c r="P45" i="8" s="1"/>
  <c r="R43" i="8" s="1"/>
  <c r="N42" i="8"/>
  <c r="P42" i="8" s="1"/>
  <c r="R41" i="8" s="1"/>
  <c r="N40" i="8"/>
  <c r="O37" i="8" s="1"/>
  <c r="N37" i="8"/>
  <c r="P37" i="8" s="1"/>
  <c r="R37" i="8" s="1"/>
  <c r="R33" i="8"/>
  <c r="S33" i="8" s="1"/>
  <c r="P33" i="8"/>
  <c r="N33" i="8" s="1"/>
  <c r="P29" i="8"/>
  <c r="R31" i="8" s="1"/>
  <c r="R25" i="8"/>
  <c r="S25" i="8" s="1"/>
  <c r="P25" i="8"/>
  <c r="R27" i="8" s="1"/>
  <c r="T27" i="8" s="1"/>
  <c r="P21" i="8"/>
  <c r="R23" i="8" s="1"/>
  <c r="P17" i="8"/>
  <c r="R19" i="8" s="1"/>
  <c r="N15" i="8"/>
  <c r="P15" i="8" s="1"/>
  <c r="P13" i="8"/>
  <c r="R13" i="8" s="1"/>
  <c r="P10" i="8"/>
  <c r="R11" i="8" s="1"/>
  <c r="N8" i="8"/>
  <c r="P8" i="8" s="1"/>
  <c r="P6" i="8"/>
  <c r="R5" i="8" s="1"/>
  <c r="N173" i="7"/>
  <c r="P173" i="7" s="1"/>
  <c r="R173" i="7" s="1"/>
  <c r="N169" i="7"/>
  <c r="P169" i="7" s="1"/>
  <c r="R169" i="7" s="1"/>
  <c r="J165" i="7"/>
  <c r="I165" i="7"/>
  <c r="H165" i="7"/>
  <c r="G165" i="7"/>
  <c r="F165" i="7"/>
  <c r="P163" i="7"/>
  <c r="R163" i="7" s="1"/>
  <c r="P161" i="7"/>
  <c r="N161" i="7"/>
  <c r="N159" i="7"/>
  <c r="P159" i="7" s="1"/>
  <c r="P157" i="7"/>
  <c r="N157" i="7"/>
  <c r="N155" i="7"/>
  <c r="P155" i="7" s="1"/>
  <c r="O152" i="7"/>
  <c r="N152" i="7"/>
  <c r="P152" i="7" s="1"/>
  <c r="R153" i="7" s="1"/>
  <c r="P148" i="7"/>
  <c r="R150" i="7" s="1"/>
  <c r="P144" i="7"/>
  <c r="R146" i="7" s="1"/>
  <c r="P140" i="7"/>
  <c r="R140" i="7" s="1"/>
  <c r="P136" i="7"/>
  <c r="R138" i="7" s="1"/>
  <c r="E136" i="7"/>
  <c r="P132" i="7"/>
  <c r="R134" i="7" s="1"/>
  <c r="E132" i="7"/>
  <c r="E128" i="7"/>
  <c r="P128" i="7" s="1"/>
  <c r="E124" i="7"/>
  <c r="P124" i="7" s="1"/>
  <c r="P120" i="7"/>
  <c r="R122" i="7" s="1"/>
  <c r="E120" i="7"/>
  <c r="P116" i="7"/>
  <c r="R118" i="7" s="1"/>
  <c r="E116" i="7"/>
  <c r="E112" i="7"/>
  <c r="P112" i="7" s="1"/>
  <c r="E108" i="7"/>
  <c r="P108" i="7" s="1"/>
  <c r="P104" i="7"/>
  <c r="R106" i="7" s="1"/>
  <c r="E104" i="7"/>
  <c r="P100" i="7"/>
  <c r="R102" i="7" s="1"/>
  <c r="E100" i="7"/>
  <c r="E96" i="7"/>
  <c r="P96" i="7" s="1"/>
  <c r="E92" i="7"/>
  <c r="P92" i="7" s="1"/>
  <c r="P90" i="7"/>
  <c r="N90" i="7"/>
  <c r="P87" i="7"/>
  <c r="R88" i="7" s="1"/>
  <c r="N87" i="7"/>
  <c r="P85" i="7"/>
  <c r="N85" i="7"/>
  <c r="O82" i="7" s="1"/>
  <c r="P82" i="7"/>
  <c r="R83" i="7" s="1"/>
  <c r="N82" i="7"/>
  <c r="P78" i="7"/>
  <c r="R80" i="7" s="1"/>
  <c r="P74" i="7"/>
  <c r="N74" i="7" s="1"/>
  <c r="P70" i="7"/>
  <c r="R72" i="7" s="1"/>
  <c r="P66" i="7"/>
  <c r="R68" i="7" s="1"/>
  <c r="P64" i="7"/>
  <c r="N64" i="7"/>
  <c r="N63" i="7"/>
  <c r="O61" i="7" s="1"/>
  <c r="N61" i="7"/>
  <c r="P61" i="7" s="1"/>
  <c r="P59" i="7"/>
  <c r="N59" i="7"/>
  <c r="N58" i="7"/>
  <c r="O56" i="7" s="1"/>
  <c r="N56" i="7"/>
  <c r="P56" i="7" s="1"/>
  <c r="R56" i="7" s="1"/>
  <c r="T56" i="7" s="1"/>
  <c r="P54" i="7"/>
  <c r="N54" i="7"/>
  <c r="N53" i="7"/>
  <c r="O51" i="7" s="1"/>
  <c r="N51" i="7"/>
  <c r="P51" i="7" s="1"/>
  <c r="R51" i="7" s="1"/>
  <c r="T51" i="7" s="1"/>
  <c r="N49" i="7"/>
  <c r="O47" i="7" s="1"/>
  <c r="P47" i="7"/>
  <c r="R46" i="7" s="1"/>
  <c r="N47" i="7"/>
  <c r="N45" i="7"/>
  <c r="P45" i="7" s="1"/>
  <c r="N42" i="7"/>
  <c r="P42" i="7" s="1"/>
  <c r="R41" i="7" s="1"/>
  <c r="N40" i="7"/>
  <c r="O37" i="7" s="1"/>
  <c r="N37" i="7"/>
  <c r="P37" i="7" s="1"/>
  <c r="R37" i="7" s="1"/>
  <c r="P33" i="7"/>
  <c r="R35" i="7" s="1"/>
  <c r="P29" i="7"/>
  <c r="R31" i="7" s="1"/>
  <c r="R25" i="7"/>
  <c r="S25" i="7" s="1"/>
  <c r="P25" i="7"/>
  <c r="N25" i="7" s="1"/>
  <c r="P21" i="7"/>
  <c r="R21" i="7" s="1"/>
  <c r="P17" i="7"/>
  <c r="R19" i="7" s="1"/>
  <c r="P15" i="7"/>
  <c r="N15" i="7"/>
  <c r="P13" i="7"/>
  <c r="R13" i="7" s="1"/>
  <c r="P10" i="7"/>
  <c r="R9" i="7" s="1"/>
  <c r="N10" i="7"/>
  <c r="N8" i="7"/>
  <c r="P8" i="7" s="1"/>
  <c r="R7" i="7" s="1"/>
  <c r="S7" i="7" s="1"/>
  <c r="P6" i="7"/>
  <c r="R5" i="7" s="1"/>
  <c r="N173" i="6"/>
  <c r="P173" i="6" s="1"/>
  <c r="R173" i="6" s="1"/>
  <c r="N169" i="6"/>
  <c r="P169" i="6" s="1"/>
  <c r="R169" i="6" s="1"/>
  <c r="J165" i="6"/>
  <c r="I165" i="6"/>
  <c r="H165" i="6"/>
  <c r="G165" i="6"/>
  <c r="F165" i="6"/>
  <c r="P163" i="6"/>
  <c r="R163" i="6" s="1"/>
  <c r="P161" i="6"/>
  <c r="N161" i="6"/>
  <c r="N159" i="6"/>
  <c r="P159" i="6" s="1"/>
  <c r="N157" i="6"/>
  <c r="P157" i="6" s="1"/>
  <c r="N155" i="6"/>
  <c r="O152" i="6" s="1"/>
  <c r="N152" i="6"/>
  <c r="P152" i="6" s="1"/>
  <c r="R153" i="6" s="1"/>
  <c r="P148" i="6"/>
  <c r="R150" i="6" s="1"/>
  <c r="P144" i="6"/>
  <c r="R146" i="6" s="1"/>
  <c r="N144" i="6"/>
  <c r="R140" i="6"/>
  <c r="T140" i="6" s="1"/>
  <c r="P140" i="6"/>
  <c r="R142" i="6" s="1"/>
  <c r="T142" i="6" s="1"/>
  <c r="N140" i="6"/>
  <c r="E136" i="6"/>
  <c r="P136" i="6" s="1"/>
  <c r="R138" i="6" s="1"/>
  <c r="E132" i="6"/>
  <c r="P132" i="6" s="1"/>
  <c r="E128" i="6"/>
  <c r="P128" i="6" s="1"/>
  <c r="E124" i="6"/>
  <c r="P124" i="6" s="1"/>
  <c r="P120" i="6"/>
  <c r="R122" i="6" s="1"/>
  <c r="E120" i="6"/>
  <c r="E116" i="6"/>
  <c r="P116" i="6" s="1"/>
  <c r="E112" i="6"/>
  <c r="P112" i="6" s="1"/>
  <c r="E108" i="6"/>
  <c r="P108" i="6" s="1"/>
  <c r="E104" i="6"/>
  <c r="P104" i="6" s="1"/>
  <c r="R106" i="6" s="1"/>
  <c r="E100" i="6"/>
  <c r="P100" i="6" s="1"/>
  <c r="E96" i="6"/>
  <c r="P96" i="6" s="1"/>
  <c r="E92" i="6"/>
  <c r="P92" i="6" s="1"/>
  <c r="P90" i="6"/>
  <c r="N90" i="6"/>
  <c r="N87" i="6"/>
  <c r="P87" i="6" s="1"/>
  <c r="R88" i="6" s="1"/>
  <c r="N85" i="6"/>
  <c r="P85" i="6" s="1"/>
  <c r="P82" i="6"/>
  <c r="R83" i="6" s="1"/>
  <c r="N82" i="6"/>
  <c r="P78" i="6"/>
  <c r="R78" i="6" s="1"/>
  <c r="P74" i="6"/>
  <c r="R74" i="6" s="1"/>
  <c r="P70" i="6"/>
  <c r="N70" i="6" s="1"/>
  <c r="P66" i="6"/>
  <c r="R66" i="6" s="1"/>
  <c r="P64" i="6"/>
  <c r="N64" i="6"/>
  <c r="N63" i="6"/>
  <c r="O61" i="6"/>
  <c r="N61" i="6"/>
  <c r="P61" i="6" s="1"/>
  <c r="R61" i="6" s="1"/>
  <c r="P59" i="6"/>
  <c r="N59" i="6"/>
  <c r="N58" i="6"/>
  <c r="O56" i="6" s="1"/>
  <c r="N56" i="6"/>
  <c r="P56" i="6" s="1"/>
  <c r="R56" i="6" s="1"/>
  <c r="P54" i="6"/>
  <c r="N54" i="6"/>
  <c r="N53" i="6"/>
  <c r="O51" i="6" s="1"/>
  <c r="N51" i="6"/>
  <c r="P51" i="6" s="1"/>
  <c r="R51" i="6" s="1"/>
  <c r="N49" i="6"/>
  <c r="O47" i="6" s="1"/>
  <c r="N47" i="6"/>
  <c r="P47" i="6" s="1"/>
  <c r="R46" i="6" s="1"/>
  <c r="T46" i="6" s="1"/>
  <c r="N45" i="6"/>
  <c r="P45" i="6" s="1"/>
  <c r="N42" i="6"/>
  <c r="P42" i="6" s="1"/>
  <c r="R41" i="6" s="1"/>
  <c r="N40" i="6"/>
  <c r="P40" i="6" s="1"/>
  <c r="O37" i="6"/>
  <c r="N37" i="6"/>
  <c r="P37" i="6" s="1"/>
  <c r="R37" i="6" s="1"/>
  <c r="T37" i="6" s="1"/>
  <c r="R35" i="6"/>
  <c r="T35" i="6" s="1"/>
  <c r="P33" i="6"/>
  <c r="N33" i="6" s="1"/>
  <c r="P29" i="6"/>
  <c r="R29" i="6" s="1"/>
  <c r="P25" i="6"/>
  <c r="R25" i="6" s="1"/>
  <c r="P21" i="6"/>
  <c r="N21" i="6" s="1"/>
  <c r="R19" i="6"/>
  <c r="S19" i="6" s="1"/>
  <c r="P17" i="6"/>
  <c r="R17" i="6" s="1"/>
  <c r="N15" i="6"/>
  <c r="P15" i="6" s="1"/>
  <c r="R15" i="6" s="1"/>
  <c r="P13" i="6"/>
  <c r="R13" i="6" s="1"/>
  <c r="N13" i="6"/>
  <c r="P10" i="6"/>
  <c r="R9" i="6" s="1"/>
  <c r="N8" i="6"/>
  <c r="P8" i="6" s="1"/>
  <c r="P6" i="6"/>
  <c r="R5" i="6" s="1"/>
  <c r="S5" i="6" s="1"/>
  <c r="N173" i="5"/>
  <c r="P173" i="5" s="1"/>
  <c r="R173" i="5" s="1"/>
  <c r="N169" i="5"/>
  <c r="P169" i="5" s="1"/>
  <c r="R169" i="5" s="1"/>
  <c r="J165" i="5"/>
  <c r="I165" i="5"/>
  <c r="H165" i="5"/>
  <c r="G165" i="5"/>
  <c r="F165" i="5"/>
  <c r="P163" i="5"/>
  <c r="R163" i="5" s="1"/>
  <c r="P161" i="5"/>
  <c r="N161" i="5"/>
  <c r="P159" i="5"/>
  <c r="R160" i="5" s="1"/>
  <c r="N159" i="5"/>
  <c r="N157" i="5"/>
  <c r="P157" i="5" s="1"/>
  <c r="N155" i="5"/>
  <c r="P155" i="5" s="1"/>
  <c r="P152" i="5"/>
  <c r="R153" i="5" s="1"/>
  <c r="O152" i="5"/>
  <c r="N152" i="5"/>
  <c r="P148" i="5"/>
  <c r="R148" i="5" s="1"/>
  <c r="P144" i="5"/>
  <c r="R144" i="5" s="1"/>
  <c r="P140" i="5"/>
  <c r="N140" i="5" s="1"/>
  <c r="E136" i="5"/>
  <c r="P136" i="5" s="1"/>
  <c r="E132" i="5"/>
  <c r="P132" i="5" s="1"/>
  <c r="P128" i="5"/>
  <c r="R128" i="5" s="1"/>
  <c r="E128" i="5"/>
  <c r="E124" i="5"/>
  <c r="P124" i="5" s="1"/>
  <c r="E120" i="5"/>
  <c r="P120" i="5" s="1"/>
  <c r="E116" i="5"/>
  <c r="P116" i="5" s="1"/>
  <c r="P112" i="5"/>
  <c r="R112" i="5" s="1"/>
  <c r="E112" i="5"/>
  <c r="P108" i="5"/>
  <c r="R110" i="5" s="1"/>
  <c r="E108" i="5"/>
  <c r="E104" i="5"/>
  <c r="P104" i="5" s="1"/>
  <c r="E100" i="5"/>
  <c r="P100" i="5" s="1"/>
  <c r="P96" i="5"/>
  <c r="R96" i="5" s="1"/>
  <c r="E96" i="5"/>
  <c r="P92" i="5"/>
  <c r="R92" i="5" s="1"/>
  <c r="E92" i="5"/>
  <c r="N90" i="5"/>
  <c r="P90" i="5" s="1"/>
  <c r="N87" i="5"/>
  <c r="P87" i="5" s="1"/>
  <c r="R88" i="5" s="1"/>
  <c r="N85" i="5"/>
  <c r="P85" i="5" s="1"/>
  <c r="O82" i="5"/>
  <c r="N82" i="5"/>
  <c r="P82" i="5" s="1"/>
  <c r="R83" i="5" s="1"/>
  <c r="P78" i="5"/>
  <c r="R80" i="5" s="1"/>
  <c r="S76" i="5"/>
  <c r="R76" i="5"/>
  <c r="T76" i="5" s="1"/>
  <c r="R74" i="5"/>
  <c r="T74" i="5" s="1"/>
  <c r="P74" i="5"/>
  <c r="N74" i="5"/>
  <c r="P70" i="5"/>
  <c r="R72" i="5" s="1"/>
  <c r="N70" i="5"/>
  <c r="P66" i="5"/>
  <c r="R68" i="5" s="1"/>
  <c r="N66" i="5"/>
  <c r="P64" i="5"/>
  <c r="N64" i="5"/>
  <c r="N63" i="5"/>
  <c r="O61" i="5" s="1"/>
  <c r="N61" i="5"/>
  <c r="P61" i="5" s="1"/>
  <c r="P59" i="5"/>
  <c r="N59" i="5"/>
  <c r="N58" i="5"/>
  <c r="O56" i="5" s="1"/>
  <c r="N56" i="5"/>
  <c r="P56" i="5" s="1"/>
  <c r="P54" i="5"/>
  <c r="N54" i="5"/>
  <c r="N53" i="5"/>
  <c r="O51" i="5" s="1"/>
  <c r="N51" i="5"/>
  <c r="P51" i="5" s="1"/>
  <c r="N49" i="5"/>
  <c r="O47" i="5" s="1"/>
  <c r="P47" i="5"/>
  <c r="R46" i="5" s="1"/>
  <c r="N47" i="5"/>
  <c r="N45" i="5"/>
  <c r="P45" i="5" s="1"/>
  <c r="N42" i="5"/>
  <c r="P42" i="5" s="1"/>
  <c r="R41" i="5" s="1"/>
  <c r="N40" i="5"/>
  <c r="O37" i="5" s="1"/>
  <c r="N37" i="5"/>
  <c r="P37" i="5" s="1"/>
  <c r="R37" i="5" s="1"/>
  <c r="P33" i="5"/>
  <c r="R35" i="5" s="1"/>
  <c r="N33" i="5"/>
  <c r="P29" i="5"/>
  <c r="R31" i="5" s="1"/>
  <c r="N29" i="5"/>
  <c r="R27" i="5"/>
  <c r="T27" i="5" s="1"/>
  <c r="R25" i="5"/>
  <c r="S25" i="5" s="1"/>
  <c r="P25" i="5"/>
  <c r="N25" i="5"/>
  <c r="P21" i="5"/>
  <c r="R23" i="5" s="1"/>
  <c r="N21" i="5"/>
  <c r="P17" i="5"/>
  <c r="R19" i="5" s="1"/>
  <c r="N17" i="5"/>
  <c r="N15" i="5"/>
  <c r="P15" i="5" s="1"/>
  <c r="R15" i="5" s="1"/>
  <c r="P13" i="5"/>
  <c r="R13" i="5" s="1"/>
  <c r="P10" i="5"/>
  <c r="R11" i="5" s="1"/>
  <c r="R9" i="5"/>
  <c r="S9" i="5" s="1"/>
  <c r="N8" i="5"/>
  <c r="P8" i="5" s="1"/>
  <c r="P6" i="5"/>
  <c r="N6" i="5" s="1"/>
  <c r="N61" i="1"/>
  <c r="E132" i="1"/>
  <c r="E136" i="1"/>
  <c r="E128" i="1"/>
  <c r="E124" i="1"/>
  <c r="E120" i="1"/>
  <c r="E116" i="1"/>
  <c r="E112" i="1"/>
  <c r="E108" i="1"/>
  <c r="E104" i="1"/>
  <c r="E100" i="1"/>
  <c r="E96" i="1"/>
  <c r="E92" i="1"/>
  <c r="N159" i="1"/>
  <c r="T83" i="11" l="1"/>
  <c r="S83" i="11"/>
  <c r="V83" i="11" s="1"/>
  <c r="R85" i="11"/>
  <c r="R70" i="11"/>
  <c r="S70" i="11" s="1"/>
  <c r="V70" i="11" s="1"/>
  <c r="O152" i="11"/>
  <c r="O82" i="11"/>
  <c r="R160" i="11"/>
  <c r="S160" i="11" s="1"/>
  <c r="V160" i="11" s="1"/>
  <c r="N124" i="11"/>
  <c r="R128" i="11"/>
  <c r="T128" i="11" s="1"/>
  <c r="N132" i="11"/>
  <c r="R132" i="11"/>
  <c r="T138" i="11"/>
  <c r="S138" i="11"/>
  <c r="R136" i="11"/>
  <c r="T136" i="11" s="1"/>
  <c r="N116" i="11"/>
  <c r="R118" i="11"/>
  <c r="R116" i="11"/>
  <c r="T116" i="11" s="1"/>
  <c r="N112" i="11"/>
  <c r="R112" i="11"/>
  <c r="R108" i="11"/>
  <c r="T108" i="11" s="1"/>
  <c r="R104" i="11"/>
  <c r="N104" i="11"/>
  <c r="R96" i="11"/>
  <c r="T96" i="11" s="1"/>
  <c r="R98" i="11"/>
  <c r="N96" i="11"/>
  <c r="N92" i="11"/>
  <c r="R92" i="11"/>
  <c r="R53" i="11"/>
  <c r="R43" i="11"/>
  <c r="O37" i="11"/>
  <c r="R39" i="11"/>
  <c r="S39" i="11" s="1"/>
  <c r="R148" i="11"/>
  <c r="T148" i="11" s="1"/>
  <c r="R78" i="11"/>
  <c r="S78" i="11" s="1"/>
  <c r="V78" i="11" s="1"/>
  <c r="N21" i="11"/>
  <c r="R25" i="11"/>
  <c r="S25" i="11" s="1"/>
  <c r="R27" i="11"/>
  <c r="T27" i="11" s="1"/>
  <c r="N33" i="11"/>
  <c r="R33" i="11"/>
  <c r="T33" i="11" s="1"/>
  <c r="N29" i="11"/>
  <c r="N10" i="11"/>
  <c r="N6" i="11"/>
  <c r="R7" i="11"/>
  <c r="R15" i="11"/>
  <c r="T56" i="11"/>
  <c r="S56" i="11"/>
  <c r="T13" i="11"/>
  <c r="S13" i="11"/>
  <c r="T163" i="11"/>
  <c r="S163" i="11"/>
  <c r="T15" i="11"/>
  <c r="S15" i="11"/>
  <c r="T120" i="11"/>
  <c r="S120" i="11"/>
  <c r="S153" i="11"/>
  <c r="V153" i="11" s="1"/>
  <c r="T153" i="11"/>
  <c r="T11" i="11"/>
  <c r="S11" i="11"/>
  <c r="R48" i="11"/>
  <c r="R58" i="11"/>
  <c r="S85" i="11"/>
  <c r="V85" i="11" s="1"/>
  <c r="T85" i="11"/>
  <c r="T124" i="11"/>
  <c r="S124" i="11"/>
  <c r="S43" i="11"/>
  <c r="T43" i="11"/>
  <c r="S68" i="11"/>
  <c r="V68" i="11" s="1"/>
  <c r="T68" i="11"/>
  <c r="T46" i="11"/>
  <c r="S46" i="11"/>
  <c r="T35" i="11"/>
  <c r="S35" i="11"/>
  <c r="T23" i="11"/>
  <c r="S23" i="11"/>
  <c r="S130" i="11"/>
  <c r="T130" i="11"/>
  <c r="S5" i="11"/>
  <c r="T5" i="11"/>
  <c r="T51" i="11"/>
  <c r="S51" i="11"/>
  <c r="T80" i="11"/>
  <c r="S80" i="11"/>
  <c r="V80" i="11" s="1"/>
  <c r="R90" i="11"/>
  <c r="R156" i="11"/>
  <c r="S110" i="11"/>
  <c r="T110" i="11"/>
  <c r="R61" i="11"/>
  <c r="R63" i="11"/>
  <c r="S37" i="11"/>
  <c r="T37" i="11"/>
  <c r="T100" i="11"/>
  <c r="S100" i="11"/>
  <c r="T140" i="11"/>
  <c r="S140" i="11"/>
  <c r="T31" i="11"/>
  <c r="S31" i="11"/>
  <c r="T114" i="11"/>
  <c r="S114" i="11"/>
  <c r="T76" i="11"/>
  <c r="S76" i="11"/>
  <c r="T88" i="11"/>
  <c r="S88" i="11"/>
  <c r="V88" i="11" s="1"/>
  <c r="T7" i="11"/>
  <c r="S7" i="11"/>
  <c r="T94" i="11"/>
  <c r="S94" i="11"/>
  <c r="T134" i="11"/>
  <c r="S134" i="11"/>
  <c r="T169" i="11"/>
  <c r="S169" i="11"/>
  <c r="V169" i="11" s="1"/>
  <c r="S150" i="11"/>
  <c r="T150" i="11"/>
  <c r="T19" i="11"/>
  <c r="S19" i="11"/>
  <c r="T41" i="11"/>
  <c r="S41" i="11"/>
  <c r="T53" i="11"/>
  <c r="S53" i="11"/>
  <c r="T104" i="11"/>
  <c r="S104" i="11"/>
  <c r="T144" i="11"/>
  <c r="S144" i="11"/>
  <c r="T173" i="11"/>
  <c r="S173" i="11"/>
  <c r="V173" i="11" s="1"/>
  <c r="N13" i="11"/>
  <c r="N17" i="11"/>
  <c r="R21" i="11"/>
  <c r="T25" i="11"/>
  <c r="R66" i="11"/>
  <c r="R106" i="11"/>
  <c r="R126" i="11"/>
  <c r="R146" i="11"/>
  <c r="S72" i="11"/>
  <c r="V72" i="11" s="1"/>
  <c r="N78" i="11"/>
  <c r="S96" i="11"/>
  <c r="R102" i="11"/>
  <c r="S116" i="11"/>
  <c r="R122" i="11"/>
  <c r="S136" i="11"/>
  <c r="R142" i="11"/>
  <c r="R9" i="11"/>
  <c r="R17" i="11"/>
  <c r="S27" i="11"/>
  <c r="N108" i="11"/>
  <c r="N128" i="11"/>
  <c r="N148" i="11"/>
  <c r="N74" i="11"/>
  <c r="S33" i="11"/>
  <c r="R29" i="11"/>
  <c r="R74" i="11"/>
  <c r="S108" i="11"/>
  <c r="S128" i="11"/>
  <c r="N100" i="11"/>
  <c r="N120" i="11"/>
  <c r="N140" i="11"/>
  <c r="R124" i="8"/>
  <c r="R126" i="8"/>
  <c r="T126" i="8" s="1"/>
  <c r="N124" i="8"/>
  <c r="R138" i="8"/>
  <c r="R136" i="8"/>
  <c r="T136" i="8" s="1"/>
  <c r="R63" i="7"/>
  <c r="R61" i="7"/>
  <c r="T61" i="7" s="1"/>
  <c r="R126" i="5"/>
  <c r="N124" i="5"/>
  <c r="S13" i="5"/>
  <c r="T13" i="5"/>
  <c r="R128" i="8"/>
  <c r="N128" i="8"/>
  <c r="R122" i="8"/>
  <c r="R120" i="8"/>
  <c r="T120" i="8" s="1"/>
  <c r="S74" i="10"/>
  <c r="T74" i="10"/>
  <c r="R7" i="5"/>
  <c r="N78" i="5"/>
  <c r="R114" i="5"/>
  <c r="T114" i="5" s="1"/>
  <c r="R68" i="6"/>
  <c r="S68" i="6" s="1"/>
  <c r="N6" i="7"/>
  <c r="R53" i="7"/>
  <c r="R156" i="7"/>
  <c r="R110" i="8"/>
  <c r="T110" i="8" s="1"/>
  <c r="R85" i="7"/>
  <c r="N25" i="8"/>
  <c r="N96" i="8"/>
  <c r="R5" i="10"/>
  <c r="S5" i="10" s="1"/>
  <c r="R90" i="10"/>
  <c r="T90" i="10" s="1"/>
  <c r="R146" i="10"/>
  <c r="R90" i="6"/>
  <c r="N10" i="5"/>
  <c r="R98" i="5"/>
  <c r="T98" i="5" s="1"/>
  <c r="N144" i="5"/>
  <c r="R70" i="6"/>
  <c r="T70" i="6" s="1"/>
  <c r="R72" i="6"/>
  <c r="T72" i="6" s="1"/>
  <c r="P85" i="8"/>
  <c r="R85" i="8" s="1"/>
  <c r="N13" i="5"/>
  <c r="R146" i="5"/>
  <c r="R148" i="6"/>
  <c r="T148" i="6" s="1"/>
  <c r="R27" i="7"/>
  <c r="S27" i="7" s="1"/>
  <c r="N74" i="8"/>
  <c r="N78" i="10"/>
  <c r="R43" i="6"/>
  <c r="R90" i="7"/>
  <c r="R90" i="5"/>
  <c r="N108" i="5"/>
  <c r="R33" i="6"/>
  <c r="T33" i="6" s="1"/>
  <c r="R58" i="7"/>
  <c r="R74" i="7"/>
  <c r="S74" i="7" s="1"/>
  <c r="R144" i="7"/>
  <c r="T144" i="7" s="1"/>
  <c r="R74" i="8"/>
  <c r="S74" i="8" s="1"/>
  <c r="R104" i="8"/>
  <c r="T104" i="8" s="1"/>
  <c r="R13" i="10"/>
  <c r="T13" i="10" s="1"/>
  <c r="P155" i="10"/>
  <c r="R5" i="5"/>
  <c r="S5" i="5" s="1"/>
  <c r="N78" i="8"/>
  <c r="N92" i="8"/>
  <c r="N70" i="10"/>
  <c r="N92" i="5"/>
  <c r="R130" i="5"/>
  <c r="T130" i="5" s="1"/>
  <c r="R85" i="6"/>
  <c r="R15" i="8"/>
  <c r="R35" i="8"/>
  <c r="T35" i="8" s="1"/>
  <c r="N108" i="8"/>
  <c r="R15" i="10"/>
  <c r="T15" i="10" s="1"/>
  <c r="R114" i="10"/>
  <c r="S114" i="10" s="1"/>
  <c r="R142" i="10"/>
  <c r="T142" i="10" s="1"/>
  <c r="N148" i="10"/>
  <c r="N116" i="10"/>
  <c r="N100" i="10"/>
  <c r="R98" i="10"/>
  <c r="S98" i="10" s="1"/>
  <c r="R58" i="10"/>
  <c r="T58" i="10" s="1"/>
  <c r="N33" i="10"/>
  <c r="R25" i="10"/>
  <c r="N21" i="10"/>
  <c r="N17" i="10"/>
  <c r="N10" i="10"/>
  <c r="R7" i="10"/>
  <c r="T7" i="10" s="1"/>
  <c r="T118" i="10"/>
  <c r="S118" i="10"/>
  <c r="T19" i="10"/>
  <c r="S19" i="10"/>
  <c r="S37" i="10"/>
  <c r="T37" i="10"/>
  <c r="N92" i="10"/>
  <c r="R92" i="10"/>
  <c r="R94" i="10"/>
  <c r="S140" i="10"/>
  <c r="T140" i="10"/>
  <c r="S160" i="10"/>
  <c r="T160" i="10"/>
  <c r="T21" i="10"/>
  <c r="S21" i="10"/>
  <c r="N124" i="10"/>
  <c r="R124" i="10"/>
  <c r="R126" i="10"/>
  <c r="S7" i="10"/>
  <c r="T96" i="10"/>
  <c r="S96" i="10"/>
  <c r="T61" i="10"/>
  <c r="S61" i="10"/>
  <c r="T163" i="10"/>
  <c r="S163" i="10"/>
  <c r="T46" i="10"/>
  <c r="S46" i="10"/>
  <c r="T80" i="10"/>
  <c r="S80" i="10"/>
  <c r="S9" i="10"/>
  <c r="T9" i="10"/>
  <c r="R63" i="10"/>
  <c r="S83" i="10"/>
  <c r="T83" i="10"/>
  <c r="T102" i="10"/>
  <c r="S102" i="10"/>
  <c r="T128" i="10"/>
  <c r="S128" i="10"/>
  <c r="N120" i="10"/>
  <c r="R122" i="10"/>
  <c r="R120" i="10"/>
  <c r="S51" i="10"/>
  <c r="T51" i="10"/>
  <c r="N104" i="10"/>
  <c r="R106" i="10"/>
  <c r="R104" i="10"/>
  <c r="T150" i="10"/>
  <c r="S150" i="10"/>
  <c r="T68" i="10"/>
  <c r="S68" i="10"/>
  <c r="T85" i="10"/>
  <c r="S85" i="10"/>
  <c r="N108" i="10"/>
  <c r="R108" i="10"/>
  <c r="R110" i="10"/>
  <c r="S153" i="10"/>
  <c r="T153" i="10"/>
  <c r="R41" i="10"/>
  <c r="R43" i="10"/>
  <c r="S144" i="10"/>
  <c r="T144" i="10"/>
  <c r="T31" i="10"/>
  <c r="S31" i="10"/>
  <c r="T169" i="10"/>
  <c r="S169" i="10"/>
  <c r="S15" i="10"/>
  <c r="R53" i="10"/>
  <c r="T72" i="10"/>
  <c r="S72" i="10"/>
  <c r="S88" i="10"/>
  <c r="T88" i="10"/>
  <c r="T112" i="10"/>
  <c r="S112" i="10"/>
  <c r="T134" i="10"/>
  <c r="S134" i="10"/>
  <c r="T35" i="10"/>
  <c r="S35" i="10"/>
  <c r="T56" i="10"/>
  <c r="S56" i="10"/>
  <c r="R138" i="10"/>
  <c r="R136" i="10"/>
  <c r="N136" i="10"/>
  <c r="R156" i="10"/>
  <c r="T173" i="10"/>
  <c r="S173" i="10"/>
  <c r="R70" i="10"/>
  <c r="S76" i="10"/>
  <c r="T114" i="10"/>
  <c r="T130" i="10"/>
  <c r="R11" i="10"/>
  <c r="T27" i="10"/>
  <c r="P49" i="10"/>
  <c r="R48" i="10" s="1"/>
  <c r="S142" i="10"/>
  <c r="R148" i="10"/>
  <c r="T5" i="10"/>
  <c r="R33" i="10"/>
  <c r="R23" i="10"/>
  <c r="R17" i="10"/>
  <c r="R29" i="10"/>
  <c r="P40" i="10"/>
  <c r="R39" i="10" s="1"/>
  <c r="R66" i="10"/>
  <c r="R78" i="10"/>
  <c r="R100" i="10"/>
  <c r="R116" i="10"/>
  <c r="R132" i="10"/>
  <c r="N96" i="10"/>
  <c r="N112" i="10"/>
  <c r="N128" i="10"/>
  <c r="S13" i="10"/>
  <c r="N140" i="10"/>
  <c r="R7" i="8"/>
  <c r="T7" i="8" s="1"/>
  <c r="R9" i="8"/>
  <c r="S9" i="8" s="1"/>
  <c r="N10" i="8"/>
  <c r="N6" i="8"/>
  <c r="R102" i="8"/>
  <c r="R100" i="8"/>
  <c r="N100" i="8"/>
  <c r="T85" i="8"/>
  <c r="S85" i="8"/>
  <c r="T106" i="8"/>
  <c r="S106" i="8"/>
  <c r="T140" i="8"/>
  <c r="S140" i="8"/>
  <c r="T138" i="8"/>
  <c r="S138" i="8"/>
  <c r="T88" i="8"/>
  <c r="S88" i="8"/>
  <c r="R160" i="8"/>
  <c r="S13" i="8"/>
  <c r="T13" i="8"/>
  <c r="T56" i="8"/>
  <c r="S56" i="8"/>
  <c r="R90" i="8"/>
  <c r="T163" i="8"/>
  <c r="S163" i="8"/>
  <c r="T31" i="8"/>
  <c r="S31" i="8"/>
  <c r="R53" i="8"/>
  <c r="S15" i="8"/>
  <c r="T15" i="8"/>
  <c r="T37" i="8"/>
  <c r="S37" i="8"/>
  <c r="T124" i="8"/>
  <c r="S124" i="8"/>
  <c r="T51" i="8"/>
  <c r="S51" i="8"/>
  <c r="T122" i="8"/>
  <c r="S122" i="8"/>
  <c r="T19" i="8"/>
  <c r="S19" i="8"/>
  <c r="T23" i="8"/>
  <c r="S23" i="8"/>
  <c r="T41" i="8"/>
  <c r="S41" i="8"/>
  <c r="R58" i="8"/>
  <c r="T92" i="8"/>
  <c r="S92" i="8"/>
  <c r="T150" i="8"/>
  <c r="S150" i="8"/>
  <c r="T76" i="8"/>
  <c r="S76" i="8"/>
  <c r="T108" i="8"/>
  <c r="S108" i="8"/>
  <c r="T43" i="8"/>
  <c r="S43" i="8"/>
  <c r="T61" i="8"/>
  <c r="S61" i="8"/>
  <c r="T68" i="8"/>
  <c r="S68" i="8"/>
  <c r="T11" i="8"/>
  <c r="S11" i="8"/>
  <c r="T80" i="8"/>
  <c r="S80" i="8"/>
  <c r="T128" i="8"/>
  <c r="S128" i="8"/>
  <c r="T46" i="8"/>
  <c r="S46" i="8"/>
  <c r="T112" i="8"/>
  <c r="S112" i="8"/>
  <c r="R134" i="8"/>
  <c r="R132" i="8"/>
  <c r="N132" i="8"/>
  <c r="T153" i="8"/>
  <c r="S153" i="8"/>
  <c r="T169" i="8"/>
  <c r="S169" i="8"/>
  <c r="T5" i="8"/>
  <c r="S5" i="8"/>
  <c r="R63" i="8"/>
  <c r="T96" i="8"/>
  <c r="S96" i="8"/>
  <c r="R118" i="8"/>
  <c r="R116" i="8"/>
  <c r="N116" i="8"/>
  <c r="T173" i="8"/>
  <c r="S173" i="8"/>
  <c r="N21" i="8"/>
  <c r="T25" i="8"/>
  <c r="T74" i="8"/>
  <c r="R98" i="8"/>
  <c r="R114" i="8"/>
  <c r="R130" i="8"/>
  <c r="T146" i="8"/>
  <c r="N104" i="8"/>
  <c r="N120" i="8"/>
  <c r="N136" i="8"/>
  <c r="N148" i="8"/>
  <c r="R142" i="8"/>
  <c r="N17" i="8"/>
  <c r="N29" i="8"/>
  <c r="T33" i="8"/>
  <c r="T70" i="8"/>
  <c r="S83" i="8"/>
  <c r="S94" i="8"/>
  <c r="S104" i="8"/>
  <c r="S110" i="8"/>
  <c r="S120" i="8"/>
  <c r="S126" i="8"/>
  <c r="S136" i="8"/>
  <c r="S148" i="8"/>
  <c r="P155" i="8"/>
  <c r="R156" i="8" s="1"/>
  <c r="N13" i="8"/>
  <c r="R17" i="8"/>
  <c r="R29" i="8"/>
  <c r="S35" i="8"/>
  <c r="P40" i="8"/>
  <c r="R39" i="8" s="1"/>
  <c r="R66" i="8"/>
  <c r="S72" i="8"/>
  <c r="R78" i="8"/>
  <c r="P49" i="8"/>
  <c r="R48" i="8" s="1"/>
  <c r="R21" i="8"/>
  <c r="S27" i="8"/>
  <c r="S144" i="8"/>
  <c r="N140" i="8"/>
  <c r="R160" i="6"/>
  <c r="S160" i="6" s="1"/>
  <c r="R160" i="7"/>
  <c r="S160" i="7" s="1"/>
  <c r="T72" i="7"/>
  <c r="S72" i="7"/>
  <c r="T41" i="7"/>
  <c r="S41" i="7"/>
  <c r="N92" i="7"/>
  <c r="R94" i="7"/>
  <c r="R92" i="7"/>
  <c r="N124" i="7"/>
  <c r="R126" i="7"/>
  <c r="R124" i="7"/>
  <c r="R43" i="7"/>
  <c r="T19" i="7"/>
  <c r="S19" i="7"/>
  <c r="T21" i="7"/>
  <c r="S21" i="7"/>
  <c r="S46" i="7"/>
  <c r="T46" i="7"/>
  <c r="T80" i="7"/>
  <c r="S80" i="7"/>
  <c r="T102" i="7"/>
  <c r="S102" i="7"/>
  <c r="T134" i="7"/>
  <c r="S134" i="7"/>
  <c r="T58" i="7"/>
  <c r="S58" i="7"/>
  <c r="T83" i="7"/>
  <c r="S83" i="7"/>
  <c r="T106" i="7"/>
  <c r="S106" i="7"/>
  <c r="T138" i="7"/>
  <c r="S138" i="7"/>
  <c r="T63" i="7"/>
  <c r="S63" i="7"/>
  <c r="N108" i="7"/>
  <c r="R110" i="7"/>
  <c r="R108" i="7"/>
  <c r="T140" i="7"/>
  <c r="S140" i="7"/>
  <c r="T163" i="7"/>
  <c r="S163" i="7"/>
  <c r="T5" i="7"/>
  <c r="S5" i="7"/>
  <c r="T31" i="7"/>
  <c r="S31" i="7"/>
  <c r="T85" i="7"/>
  <c r="S85" i="7"/>
  <c r="T88" i="7"/>
  <c r="S88" i="7"/>
  <c r="T118" i="7"/>
  <c r="S118" i="7"/>
  <c r="T150" i="7"/>
  <c r="S150" i="7"/>
  <c r="R112" i="7"/>
  <c r="N112" i="7"/>
  <c r="R114" i="7"/>
  <c r="S9" i="7"/>
  <c r="T9" i="7"/>
  <c r="T37" i="7"/>
  <c r="S37" i="7"/>
  <c r="T53" i="7"/>
  <c r="S53" i="7"/>
  <c r="T153" i="7"/>
  <c r="S153" i="7"/>
  <c r="S146" i="7"/>
  <c r="T146" i="7"/>
  <c r="S35" i="7"/>
  <c r="T35" i="7"/>
  <c r="T13" i="7"/>
  <c r="S13" i="7"/>
  <c r="T68" i="7"/>
  <c r="S68" i="7"/>
  <c r="T90" i="7"/>
  <c r="S90" i="7"/>
  <c r="T122" i="7"/>
  <c r="S122" i="7"/>
  <c r="T156" i="7"/>
  <c r="S156" i="7"/>
  <c r="T169" i="7"/>
  <c r="S169" i="7"/>
  <c r="R96" i="7"/>
  <c r="N96" i="7"/>
  <c r="R98" i="7"/>
  <c r="R128" i="7"/>
  <c r="N128" i="7"/>
  <c r="R130" i="7"/>
  <c r="T173" i="7"/>
  <c r="S173" i="7"/>
  <c r="N21" i="7"/>
  <c r="T25" i="7"/>
  <c r="N33" i="7"/>
  <c r="N70" i="7"/>
  <c r="T74" i="7"/>
  <c r="T7" i="7"/>
  <c r="R15" i="7"/>
  <c r="R76" i="7"/>
  <c r="N104" i="7"/>
  <c r="N120" i="7"/>
  <c r="N136" i="7"/>
  <c r="N148" i="7"/>
  <c r="R70" i="7"/>
  <c r="R142" i="7"/>
  <c r="R11" i="7"/>
  <c r="T27" i="7"/>
  <c r="P49" i="7"/>
  <c r="R48" i="7" s="1"/>
  <c r="R104" i="7"/>
  <c r="R120" i="7"/>
  <c r="R136" i="7"/>
  <c r="R148" i="7"/>
  <c r="N17" i="7"/>
  <c r="N29" i="7"/>
  <c r="N66" i="7"/>
  <c r="N78" i="7"/>
  <c r="N100" i="7"/>
  <c r="N116" i="7"/>
  <c r="N132" i="7"/>
  <c r="R23" i="7"/>
  <c r="N144" i="7"/>
  <c r="R33" i="7"/>
  <c r="N13" i="7"/>
  <c r="R17" i="7"/>
  <c r="R29" i="7"/>
  <c r="P40" i="7"/>
  <c r="R39" i="7" s="1"/>
  <c r="R66" i="7"/>
  <c r="R78" i="7"/>
  <c r="R100" i="7"/>
  <c r="R116" i="7"/>
  <c r="R132" i="7"/>
  <c r="S51" i="7"/>
  <c r="S56" i="7"/>
  <c r="S61" i="7"/>
  <c r="S144" i="7"/>
  <c r="N140" i="7"/>
  <c r="R80" i="6"/>
  <c r="S80" i="6" s="1"/>
  <c r="R39" i="6"/>
  <c r="T39" i="6" s="1"/>
  <c r="R58" i="6"/>
  <c r="T58" i="6" s="1"/>
  <c r="R31" i="6"/>
  <c r="T31" i="6" s="1"/>
  <c r="R21" i="6"/>
  <c r="T21" i="6" s="1"/>
  <c r="R23" i="6"/>
  <c r="T23" i="6" s="1"/>
  <c r="R7" i="6"/>
  <c r="T7" i="6" s="1"/>
  <c r="N6" i="6"/>
  <c r="R63" i="6"/>
  <c r="S63" i="6" s="1"/>
  <c r="R53" i="6"/>
  <c r="S53" i="6" s="1"/>
  <c r="S74" i="6"/>
  <c r="T74" i="6"/>
  <c r="S15" i="6"/>
  <c r="T15" i="6"/>
  <c r="T78" i="6"/>
  <c r="S78" i="6"/>
  <c r="T106" i="6"/>
  <c r="S106" i="6"/>
  <c r="T17" i="6"/>
  <c r="S17" i="6"/>
  <c r="N108" i="6"/>
  <c r="R110" i="6"/>
  <c r="R108" i="6"/>
  <c r="S13" i="6"/>
  <c r="T13" i="6"/>
  <c r="R112" i="6"/>
  <c r="N112" i="6"/>
  <c r="R114" i="6"/>
  <c r="T83" i="6"/>
  <c r="S83" i="6"/>
  <c r="R118" i="6"/>
  <c r="R116" i="6"/>
  <c r="N116" i="6"/>
  <c r="T163" i="6"/>
  <c r="S163" i="6"/>
  <c r="T85" i="6"/>
  <c r="S85" i="6"/>
  <c r="S146" i="6"/>
  <c r="T146" i="6"/>
  <c r="T51" i="6"/>
  <c r="S51" i="6"/>
  <c r="T61" i="6"/>
  <c r="S61" i="6"/>
  <c r="T53" i="6"/>
  <c r="T63" i="6"/>
  <c r="T88" i="6"/>
  <c r="S88" i="6"/>
  <c r="T122" i="6"/>
  <c r="S122" i="6"/>
  <c r="T150" i="6"/>
  <c r="S150" i="6"/>
  <c r="S25" i="6"/>
  <c r="T25" i="6"/>
  <c r="T41" i="6"/>
  <c r="S41" i="6"/>
  <c r="T66" i="6"/>
  <c r="S66" i="6"/>
  <c r="N124" i="6"/>
  <c r="R126" i="6"/>
  <c r="R124" i="6"/>
  <c r="T29" i="6"/>
  <c r="S29" i="6"/>
  <c r="T43" i="6"/>
  <c r="S43" i="6"/>
  <c r="T90" i="6"/>
  <c r="S90" i="6"/>
  <c r="R128" i="6"/>
  <c r="N128" i="6"/>
  <c r="R130" i="6"/>
  <c r="T153" i="6"/>
  <c r="S153" i="6"/>
  <c r="T56" i="6"/>
  <c r="S56" i="6"/>
  <c r="N92" i="6"/>
  <c r="R94" i="6"/>
  <c r="R92" i="6"/>
  <c r="R134" i="6"/>
  <c r="R132" i="6"/>
  <c r="N132" i="6"/>
  <c r="S9" i="6"/>
  <c r="T9" i="6"/>
  <c r="R96" i="6"/>
  <c r="N96" i="6"/>
  <c r="R98" i="6"/>
  <c r="T169" i="6"/>
  <c r="S169" i="6"/>
  <c r="R102" i="6"/>
  <c r="R100" i="6"/>
  <c r="N100" i="6"/>
  <c r="T138" i="6"/>
  <c r="S138" i="6"/>
  <c r="T173" i="6"/>
  <c r="S173" i="6"/>
  <c r="S37" i="6"/>
  <c r="S140" i="6"/>
  <c r="T5" i="6"/>
  <c r="T19" i="6"/>
  <c r="T68" i="6"/>
  <c r="N10" i="6"/>
  <c r="R27" i="6"/>
  <c r="R76" i="6"/>
  <c r="O82" i="6"/>
  <c r="N104" i="6"/>
  <c r="N120" i="6"/>
  <c r="N136" i="6"/>
  <c r="N148" i="6"/>
  <c r="R11" i="6"/>
  <c r="S33" i="6"/>
  <c r="P49" i="6"/>
  <c r="R48" i="6" s="1"/>
  <c r="S70" i="6"/>
  <c r="R104" i="6"/>
  <c r="R120" i="6"/>
  <c r="R136" i="6"/>
  <c r="S142" i="6"/>
  <c r="N17" i="6"/>
  <c r="N29" i="6"/>
  <c r="N66" i="6"/>
  <c r="N78" i="6"/>
  <c r="S148" i="6"/>
  <c r="P155" i="6"/>
  <c r="R156" i="6" s="1"/>
  <c r="S35" i="6"/>
  <c r="S46" i="6"/>
  <c r="S72" i="6"/>
  <c r="R144" i="6"/>
  <c r="N25" i="6"/>
  <c r="N74" i="6"/>
  <c r="S112" i="5"/>
  <c r="T112" i="5"/>
  <c r="T15" i="5"/>
  <c r="S15" i="5"/>
  <c r="T35" i="5"/>
  <c r="S35" i="5"/>
  <c r="T72" i="5"/>
  <c r="S72" i="5"/>
  <c r="T90" i="5"/>
  <c r="S90" i="5"/>
  <c r="R136" i="5"/>
  <c r="R138" i="5"/>
  <c r="N136" i="5"/>
  <c r="T160" i="5"/>
  <c r="S160" i="5"/>
  <c r="R118" i="5"/>
  <c r="R116" i="5"/>
  <c r="N116" i="5"/>
  <c r="T144" i="5"/>
  <c r="S144" i="5"/>
  <c r="T23" i="5"/>
  <c r="S23" i="5"/>
  <c r="R120" i="5"/>
  <c r="R122" i="5"/>
  <c r="N120" i="5"/>
  <c r="T163" i="5"/>
  <c r="S163" i="5"/>
  <c r="R56" i="5"/>
  <c r="R58" i="5"/>
  <c r="T19" i="5"/>
  <c r="S19" i="5"/>
  <c r="R43" i="5"/>
  <c r="R63" i="5"/>
  <c r="R61" i="5"/>
  <c r="T96" i="5"/>
  <c r="S96" i="5"/>
  <c r="S37" i="5"/>
  <c r="T37" i="5"/>
  <c r="T7" i="5"/>
  <c r="S7" i="5"/>
  <c r="T41" i="5"/>
  <c r="S41" i="5"/>
  <c r="T11" i="5"/>
  <c r="S11" i="5"/>
  <c r="T46" i="5"/>
  <c r="S46" i="5"/>
  <c r="T80" i="5"/>
  <c r="S80" i="5"/>
  <c r="R102" i="5"/>
  <c r="R100" i="5"/>
  <c r="N100" i="5"/>
  <c r="T126" i="5"/>
  <c r="S126" i="5"/>
  <c r="T153" i="5"/>
  <c r="S153" i="5"/>
  <c r="T92" i="5"/>
  <c r="S92" i="5"/>
  <c r="T148" i="5"/>
  <c r="S148" i="5"/>
  <c r="T83" i="5"/>
  <c r="S83" i="5"/>
  <c r="S31" i="5"/>
  <c r="T31" i="5"/>
  <c r="S68" i="5"/>
  <c r="T68" i="5"/>
  <c r="R85" i="5"/>
  <c r="T169" i="5"/>
  <c r="S169" i="5"/>
  <c r="R104" i="5"/>
  <c r="R106" i="5"/>
  <c r="N104" i="5"/>
  <c r="R53" i="5"/>
  <c r="R51" i="5"/>
  <c r="S128" i="5"/>
  <c r="T128" i="5"/>
  <c r="T88" i="5"/>
  <c r="S88" i="5"/>
  <c r="T110" i="5"/>
  <c r="S110" i="5"/>
  <c r="R134" i="5"/>
  <c r="N132" i="5"/>
  <c r="R132" i="5"/>
  <c r="R156" i="5"/>
  <c r="T173" i="5"/>
  <c r="S173" i="5"/>
  <c r="T9" i="5"/>
  <c r="T25" i="5"/>
  <c r="R108" i="5"/>
  <c r="S98" i="5"/>
  <c r="S114" i="5"/>
  <c r="S130" i="5"/>
  <c r="N148" i="5"/>
  <c r="R124" i="5"/>
  <c r="T5" i="5"/>
  <c r="R21" i="5"/>
  <c r="S27" i="5"/>
  <c r="R33" i="5"/>
  <c r="R70" i="5"/>
  <c r="R142" i="5"/>
  <c r="P49" i="5"/>
  <c r="R48" i="5" s="1"/>
  <c r="R17" i="5"/>
  <c r="R29" i="5"/>
  <c r="P40" i="5"/>
  <c r="R39" i="5" s="1"/>
  <c r="R66" i="5"/>
  <c r="R78" i="5"/>
  <c r="R150" i="5"/>
  <c r="R140" i="5"/>
  <c r="R94" i="5"/>
  <c r="N96" i="5"/>
  <c r="N112" i="5"/>
  <c r="N128" i="5"/>
  <c r="S74" i="5"/>
  <c r="N152" i="1"/>
  <c r="N87" i="1"/>
  <c r="N82" i="1"/>
  <c r="N56" i="1"/>
  <c r="N51" i="1"/>
  <c r="N47" i="1"/>
  <c r="N40" i="1"/>
  <c r="N37" i="1"/>
  <c r="N42" i="1"/>
  <c r="T70" i="11" l="1"/>
  <c r="T160" i="11"/>
  <c r="S132" i="11"/>
  <c r="T132" i="11"/>
  <c r="T118" i="11"/>
  <c r="S118" i="11"/>
  <c r="S112" i="11"/>
  <c r="T112" i="11"/>
  <c r="T98" i="11"/>
  <c r="S98" i="11"/>
  <c r="S92" i="11"/>
  <c r="T92" i="11"/>
  <c r="T39" i="11"/>
  <c r="S148" i="11"/>
  <c r="T78" i="11"/>
  <c r="T122" i="11"/>
  <c r="S122" i="11"/>
  <c r="T66" i="11"/>
  <c r="S66" i="11"/>
  <c r="V66" i="11" s="1"/>
  <c r="S90" i="11"/>
  <c r="V90" i="11" s="1"/>
  <c r="T90" i="11"/>
  <c r="T29" i="11"/>
  <c r="S29" i="11"/>
  <c r="T58" i="11"/>
  <c r="S58" i="11"/>
  <c r="T48" i="11"/>
  <c r="S48" i="11"/>
  <c r="T156" i="11"/>
  <c r="S156" i="11"/>
  <c r="V156" i="11" s="1"/>
  <c r="T102" i="11"/>
  <c r="S102" i="11"/>
  <c r="T63" i="11"/>
  <c r="S63" i="11"/>
  <c r="V63" i="11" s="1"/>
  <c r="T17" i="11"/>
  <c r="S17" i="11"/>
  <c r="S146" i="11"/>
  <c r="T146" i="11"/>
  <c r="T61" i="11"/>
  <c r="S61" i="11"/>
  <c r="T21" i="11"/>
  <c r="S21" i="11"/>
  <c r="T9" i="11"/>
  <c r="S9" i="11"/>
  <c r="S126" i="11"/>
  <c r="T126" i="11"/>
  <c r="T74" i="11"/>
  <c r="S74" i="11"/>
  <c r="T142" i="11"/>
  <c r="S142" i="11"/>
  <c r="S106" i="11"/>
  <c r="T106" i="11"/>
  <c r="T146" i="5"/>
  <c r="S146" i="5"/>
  <c r="S90" i="10"/>
  <c r="T9" i="8"/>
  <c r="S146" i="10"/>
  <c r="T146" i="10"/>
  <c r="T98" i="10"/>
  <c r="S58" i="10"/>
  <c r="S25" i="10"/>
  <c r="T25" i="10"/>
  <c r="T100" i="10"/>
  <c r="S100" i="10"/>
  <c r="T138" i="10"/>
  <c r="S138" i="10"/>
  <c r="T43" i="10"/>
  <c r="S43" i="10"/>
  <c r="T66" i="10"/>
  <c r="S66" i="10"/>
  <c r="T106" i="10"/>
  <c r="S106" i="10"/>
  <c r="T29" i="10"/>
  <c r="S29" i="10"/>
  <c r="S110" i="10"/>
  <c r="T110" i="10"/>
  <c r="T17" i="10"/>
  <c r="S17" i="10"/>
  <c r="S108" i="10"/>
  <c r="T108" i="10"/>
  <c r="S94" i="10"/>
  <c r="T94" i="10"/>
  <c r="T70" i="10"/>
  <c r="S70" i="10"/>
  <c r="S63" i="10"/>
  <c r="T63" i="10"/>
  <c r="T23" i="10"/>
  <c r="S23" i="10"/>
  <c r="T120" i="10"/>
  <c r="S120" i="10"/>
  <c r="S92" i="10"/>
  <c r="T92" i="10"/>
  <c r="T33" i="10"/>
  <c r="S33" i="10"/>
  <c r="T122" i="10"/>
  <c r="S122" i="10"/>
  <c r="T39" i="10"/>
  <c r="S39" i="10"/>
  <c r="T148" i="10"/>
  <c r="S148" i="10"/>
  <c r="T156" i="10"/>
  <c r="S156" i="10"/>
  <c r="S124" i="10"/>
  <c r="T124" i="10"/>
  <c r="T132" i="10"/>
  <c r="S132" i="10"/>
  <c r="T126" i="10"/>
  <c r="S126" i="10"/>
  <c r="T116" i="10"/>
  <c r="S116" i="10"/>
  <c r="S48" i="10"/>
  <c r="T48" i="10"/>
  <c r="T136" i="10"/>
  <c r="S136" i="10"/>
  <c r="S53" i="10"/>
  <c r="T53" i="10"/>
  <c r="T78" i="10"/>
  <c r="S78" i="10"/>
  <c r="S11" i="10"/>
  <c r="T11" i="10"/>
  <c r="S41" i="10"/>
  <c r="T41" i="10"/>
  <c r="S104" i="10"/>
  <c r="T104" i="10"/>
  <c r="S7" i="8"/>
  <c r="T156" i="8"/>
  <c r="S156" i="8"/>
  <c r="T78" i="8"/>
  <c r="S78" i="8"/>
  <c r="T116" i="8"/>
  <c r="S116" i="8"/>
  <c r="T132" i="8"/>
  <c r="S132" i="8"/>
  <c r="T134" i="8"/>
  <c r="S134" i="8"/>
  <c r="T130" i="8"/>
  <c r="S130" i="8"/>
  <c r="T114" i="8"/>
  <c r="S114" i="8"/>
  <c r="T90" i="8"/>
  <c r="S90" i="8"/>
  <c r="S39" i="8"/>
  <c r="T39" i="8"/>
  <c r="T29" i="8"/>
  <c r="S29" i="8"/>
  <c r="T98" i="8"/>
  <c r="S98" i="8"/>
  <c r="T63" i="8"/>
  <c r="S63" i="8"/>
  <c r="T66" i="8"/>
  <c r="S66" i="8"/>
  <c r="T118" i="8"/>
  <c r="S118" i="8"/>
  <c r="T17" i="8"/>
  <c r="S17" i="8"/>
  <c r="T58" i="8"/>
  <c r="S58" i="8"/>
  <c r="T48" i="8"/>
  <c r="S48" i="8"/>
  <c r="T53" i="8"/>
  <c r="S53" i="8"/>
  <c r="T142" i="8"/>
  <c r="S142" i="8"/>
  <c r="T160" i="8"/>
  <c r="S160" i="8"/>
  <c r="T100" i="8"/>
  <c r="S100" i="8"/>
  <c r="S21" i="8"/>
  <c r="T21" i="8"/>
  <c r="T102" i="8"/>
  <c r="S102" i="8"/>
  <c r="T160" i="6"/>
  <c r="T160" i="7"/>
  <c r="T33" i="7"/>
  <c r="S33" i="7"/>
  <c r="T120" i="7"/>
  <c r="S120" i="7"/>
  <c r="S15" i="7"/>
  <c r="T15" i="7"/>
  <c r="T98" i="7"/>
  <c r="S98" i="7"/>
  <c r="T128" i="7"/>
  <c r="S128" i="7"/>
  <c r="T43" i="7"/>
  <c r="S43" i="7"/>
  <c r="S23" i="7"/>
  <c r="T23" i="7"/>
  <c r="T48" i="7"/>
  <c r="S48" i="7"/>
  <c r="T96" i="7"/>
  <c r="S96" i="7"/>
  <c r="T124" i="7"/>
  <c r="S124" i="7"/>
  <c r="T110" i="7"/>
  <c r="S110" i="7"/>
  <c r="T104" i="7"/>
  <c r="S104" i="7"/>
  <c r="S132" i="7"/>
  <c r="T132" i="7"/>
  <c r="T114" i="7"/>
  <c r="S114" i="7"/>
  <c r="T126" i="7"/>
  <c r="S126" i="7"/>
  <c r="T11" i="7"/>
  <c r="S11" i="7"/>
  <c r="T100" i="7"/>
  <c r="S100" i="7"/>
  <c r="T142" i="7"/>
  <c r="S142" i="7"/>
  <c r="T112" i="7"/>
  <c r="S112" i="7"/>
  <c r="T92" i="7"/>
  <c r="S92" i="7"/>
  <c r="T17" i="7"/>
  <c r="S17" i="7"/>
  <c r="T108" i="7"/>
  <c r="S108" i="7"/>
  <c r="T136" i="7"/>
  <c r="S136" i="7"/>
  <c r="T116" i="7"/>
  <c r="S116" i="7"/>
  <c r="S78" i="7"/>
  <c r="T78" i="7"/>
  <c r="T70" i="7"/>
  <c r="S70" i="7"/>
  <c r="T94" i="7"/>
  <c r="S94" i="7"/>
  <c r="T148" i="7"/>
  <c r="S148" i="7"/>
  <c r="T76" i="7"/>
  <c r="S76" i="7"/>
  <c r="T39" i="7"/>
  <c r="S39" i="7"/>
  <c r="S66" i="7"/>
  <c r="T66" i="7"/>
  <c r="T29" i="7"/>
  <c r="S29" i="7"/>
  <c r="T130" i="7"/>
  <c r="S130" i="7"/>
  <c r="T80" i="6"/>
  <c r="S39" i="6"/>
  <c r="S58" i="6"/>
  <c r="S31" i="6"/>
  <c r="S23" i="6"/>
  <c r="S7" i="6"/>
  <c r="S21" i="6"/>
  <c r="T124" i="6"/>
  <c r="S124" i="6"/>
  <c r="T114" i="6"/>
  <c r="S114" i="6"/>
  <c r="T126" i="6"/>
  <c r="S126" i="6"/>
  <c r="T98" i="6"/>
  <c r="S98" i="6"/>
  <c r="S96" i="6"/>
  <c r="T96" i="6"/>
  <c r="S112" i="6"/>
  <c r="T112" i="6"/>
  <c r="T120" i="6"/>
  <c r="S120" i="6"/>
  <c r="T76" i="6"/>
  <c r="S76" i="6"/>
  <c r="T108" i="6"/>
  <c r="S108" i="6"/>
  <c r="T11" i="6"/>
  <c r="S11" i="6"/>
  <c r="T132" i="6"/>
  <c r="S132" i="6"/>
  <c r="T110" i="6"/>
  <c r="S110" i="6"/>
  <c r="S27" i="6"/>
  <c r="T27" i="6"/>
  <c r="S128" i="6"/>
  <c r="T128" i="6"/>
  <c r="T100" i="6"/>
  <c r="S100" i="6"/>
  <c r="T48" i="6"/>
  <c r="S48" i="6"/>
  <c r="S102" i="6"/>
  <c r="T102" i="6"/>
  <c r="S134" i="6"/>
  <c r="T134" i="6"/>
  <c r="T144" i="6"/>
  <c r="S144" i="6"/>
  <c r="T104" i="6"/>
  <c r="S104" i="6"/>
  <c r="T136" i="6"/>
  <c r="S136" i="6"/>
  <c r="T130" i="6"/>
  <c r="S130" i="6"/>
  <c r="T156" i="6"/>
  <c r="S156" i="6"/>
  <c r="T92" i="6"/>
  <c r="S92" i="6"/>
  <c r="T116" i="6"/>
  <c r="S116" i="6"/>
  <c r="T94" i="6"/>
  <c r="S94" i="6"/>
  <c r="S118" i="6"/>
  <c r="T118" i="6"/>
  <c r="T140" i="5"/>
  <c r="S140" i="5"/>
  <c r="S94" i="5"/>
  <c r="T94" i="5"/>
  <c r="S53" i="5"/>
  <c r="T53" i="5"/>
  <c r="T122" i="5"/>
  <c r="S122" i="5"/>
  <c r="T138" i="5"/>
  <c r="S138" i="5"/>
  <c r="S120" i="5"/>
  <c r="T120" i="5"/>
  <c r="T136" i="5"/>
  <c r="S136" i="5"/>
  <c r="T150" i="5"/>
  <c r="S150" i="5"/>
  <c r="T132" i="5"/>
  <c r="S132" i="5"/>
  <c r="T106" i="5"/>
  <c r="S106" i="5"/>
  <c r="T61" i="5"/>
  <c r="S61" i="5"/>
  <c r="S63" i="5"/>
  <c r="T63" i="5"/>
  <c r="T43" i="5"/>
  <c r="S43" i="5"/>
  <c r="T156" i="5"/>
  <c r="S156" i="5"/>
  <c r="T124" i="5"/>
  <c r="S124" i="5"/>
  <c r="T39" i="5"/>
  <c r="S39" i="5"/>
  <c r="T21" i="5"/>
  <c r="S21" i="5"/>
  <c r="S85" i="5"/>
  <c r="T85" i="5"/>
  <c r="T104" i="5"/>
  <c r="S104" i="5"/>
  <c r="T66" i="5"/>
  <c r="S66" i="5"/>
  <c r="T29" i="5"/>
  <c r="S29" i="5"/>
  <c r="T17" i="5"/>
  <c r="S17" i="5"/>
  <c r="T58" i="5"/>
  <c r="S58" i="5"/>
  <c r="T116" i="5"/>
  <c r="S116" i="5"/>
  <c r="T78" i="5"/>
  <c r="S78" i="5"/>
  <c r="S134" i="5"/>
  <c r="T134" i="5"/>
  <c r="S48" i="5"/>
  <c r="T48" i="5"/>
  <c r="T108" i="5"/>
  <c r="S108" i="5"/>
  <c r="T56" i="5"/>
  <c r="S56" i="5"/>
  <c r="T118" i="5"/>
  <c r="S118" i="5"/>
  <c r="T142" i="5"/>
  <c r="S142" i="5"/>
  <c r="T70" i="5"/>
  <c r="S70" i="5"/>
  <c r="T100" i="5"/>
  <c r="S100" i="5"/>
  <c r="T33" i="5"/>
  <c r="S33" i="5"/>
  <c r="T51" i="5"/>
  <c r="S51" i="5"/>
  <c r="T102" i="5"/>
  <c r="S102" i="5"/>
  <c r="N173" i="1"/>
  <c r="P173" i="1" l="1"/>
  <c r="R173" i="1" s="1"/>
  <c r="T173" i="1" s="1"/>
  <c r="N169" i="1"/>
  <c r="P169" i="1" s="1"/>
  <c r="R169" i="1" s="1"/>
  <c r="S169" i="1" l="1"/>
  <c r="T169" i="1"/>
  <c r="S173" i="1"/>
  <c r="H165" i="1" l="1"/>
  <c r="I165" i="1"/>
  <c r="G165" i="1"/>
  <c r="J165" i="1"/>
  <c r="F165" i="1"/>
  <c r="P163" i="1"/>
  <c r="R163" i="1" s="1"/>
  <c r="P161" i="1"/>
  <c r="N161" i="1"/>
  <c r="P159" i="1"/>
  <c r="R160" i="1" l="1"/>
  <c r="S160" i="1" s="1"/>
  <c r="S163" i="1"/>
  <c r="T163" i="1"/>
  <c r="N157" i="1"/>
  <c r="P157" i="1" s="1"/>
  <c r="N155" i="1"/>
  <c r="P152" i="1"/>
  <c r="R153" i="1" s="1"/>
  <c r="P148" i="1"/>
  <c r="R148" i="1" s="1"/>
  <c r="P144" i="1"/>
  <c r="R144" i="1" s="1"/>
  <c r="P140" i="1"/>
  <c r="R140" i="1" s="1"/>
  <c r="P136" i="1"/>
  <c r="R136" i="1" s="1"/>
  <c r="P132" i="1"/>
  <c r="R134" i="1" s="1"/>
  <c r="P128" i="1"/>
  <c r="R128" i="1" s="1"/>
  <c r="P124" i="1"/>
  <c r="R124" i="1" s="1"/>
  <c r="P120" i="1"/>
  <c r="R120" i="1" s="1"/>
  <c r="P116" i="1"/>
  <c r="R116" i="1" s="1"/>
  <c r="P112" i="1"/>
  <c r="R112" i="1" s="1"/>
  <c r="P108" i="1"/>
  <c r="N108" i="1" s="1"/>
  <c r="P104" i="1"/>
  <c r="N104" i="1" s="1"/>
  <c r="P100" i="1"/>
  <c r="R100" i="1" s="1"/>
  <c r="P96" i="1"/>
  <c r="N96" i="1" s="1"/>
  <c r="P92" i="1"/>
  <c r="R92" i="1" s="1"/>
  <c r="N90" i="1"/>
  <c r="P90" i="1" s="1"/>
  <c r="P87" i="1"/>
  <c r="R88" i="1" s="1"/>
  <c r="S88" i="1" s="1"/>
  <c r="N85" i="1"/>
  <c r="P82" i="1"/>
  <c r="R83" i="1" s="1"/>
  <c r="T83" i="1" s="1"/>
  <c r="P78" i="1"/>
  <c r="N78" i="1" s="1"/>
  <c r="P74" i="1"/>
  <c r="N74" i="1" s="1"/>
  <c r="P70" i="1"/>
  <c r="N70" i="1" s="1"/>
  <c r="P66" i="1"/>
  <c r="N66" i="1" s="1"/>
  <c r="N64" i="1"/>
  <c r="P64" i="1"/>
  <c r="N63" i="1"/>
  <c r="O61" i="1" s="1"/>
  <c r="P61" i="1"/>
  <c r="R61" i="1" s="1"/>
  <c r="S61" i="1" s="1"/>
  <c r="N54" i="1"/>
  <c r="P59" i="1"/>
  <c r="N59" i="1"/>
  <c r="N58" i="1"/>
  <c r="O56" i="1" s="1"/>
  <c r="P56" i="1"/>
  <c r="R56" i="1" s="1"/>
  <c r="S56" i="1" s="1"/>
  <c r="P54" i="1"/>
  <c r="N53" i="1"/>
  <c r="O51" i="1" s="1"/>
  <c r="P51" i="1"/>
  <c r="P47" i="1"/>
  <c r="N49" i="1"/>
  <c r="N45" i="1"/>
  <c r="P45" i="1" s="1"/>
  <c r="P42" i="1"/>
  <c r="R41" i="1" s="1"/>
  <c r="S41" i="1" s="1"/>
  <c r="P37" i="1"/>
  <c r="R37" i="1" s="1"/>
  <c r="S37" i="1" s="1"/>
  <c r="P33" i="1"/>
  <c r="N33" i="1" s="1"/>
  <c r="P29" i="1"/>
  <c r="N29" i="1" s="1"/>
  <c r="P25" i="1"/>
  <c r="N25" i="1" s="1"/>
  <c r="P21" i="1"/>
  <c r="N21" i="1" s="1"/>
  <c r="P17" i="1"/>
  <c r="N17" i="1" s="1"/>
  <c r="N15" i="1"/>
  <c r="P15" i="1" s="1"/>
  <c r="P13" i="1"/>
  <c r="P10" i="1"/>
  <c r="R11" i="1" s="1"/>
  <c r="S11" i="1" s="1"/>
  <c r="P6" i="1"/>
  <c r="N6" i="1" s="1"/>
  <c r="N8" i="1"/>
  <c r="P8" i="1" s="1"/>
  <c r="M6" i="2"/>
  <c r="P49" i="1" l="1"/>
  <c r="O47" i="1"/>
  <c r="P155" i="1"/>
  <c r="R156" i="1" s="1"/>
  <c r="O152" i="1"/>
  <c r="T160" i="1"/>
  <c r="P85" i="1"/>
  <c r="R85" i="1" s="1"/>
  <c r="O82" i="1"/>
  <c r="T56" i="1"/>
  <c r="P40" i="1"/>
  <c r="R39" i="1" s="1"/>
  <c r="O37" i="1"/>
  <c r="T92" i="1"/>
  <c r="S92" i="1"/>
  <c r="R90" i="1"/>
  <c r="N92" i="1"/>
  <c r="R94" i="1"/>
  <c r="R98" i="1"/>
  <c r="T41" i="1"/>
  <c r="R96" i="1"/>
  <c r="T37" i="1"/>
  <c r="T61" i="1"/>
  <c r="T88" i="1"/>
  <c r="N128" i="1"/>
  <c r="T11" i="1"/>
  <c r="S153" i="1"/>
  <c r="T153" i="1"/>
  <c r="N148" i="1"/>
  <c r="T148" i="1"/>
  <c r="S148" i="1"/>
  <c r="R150" i="1"/>
  <c r="N144" i="1"/>
  <c r="S144" i="1"/>
  <c r="T144" i="1"/>
  <c r="R146" i="1"/>
  <c r="N140" i="1"/>
  <c r="S140" i="1"/>
  <c r="T140" i="1"/>
  <c r="R142" i="1"/>
  <c r="N136" i="1"/>
  <c r="S136" i="1"/>
  <c r="T136" i="1"/>
  <c r="R138" i="1"/>
  <c r="N132" i="1"/>
  <c r="T134" i="1"/>
  <c r="S134" i="1"/>
  <c r="R132" i="1"/>
  <c r="N124" i="1"/>
  <c r="S128" i="1"/>
  <c r="T128" i="1"/>
  <c r="R130" i="1"/>
  <c r="N120" i="1"/>
  <c r="T124" i="1"/>
  <c r="S124" i="1"/>
  <c r="R126" i="1"/>
  <c r="S120" i="1"/>
  <c r="T120" i="1"/>
  <c r="R122" i="1"/>
  <c r="N116" i="1"/>
  <c r="S116" i="1"/>
  <c r="T116" i="1"/>
  <c r="R118" i="1"/>
  <c r="N112" i="1"/>
  <c r="S112" i="1"/>
  <c r="T112" i="1"/>
  <c r="R114" i="1"/>
  <c r="R110" i="1"/>
  <c r="R108" i="1"/>
  <c r="R106" i="1"/>
  <c r="R104" i="1"/>
  <c r="N100" i="1"/>
  <c r="T100" i="1"/>
  <c r="S100" i="1"/>
  <c r="R102" i="1"/>
  <c r="S83" i="1"/>
  <c r="R43" i="1"/>
  <c r="R80" i="1"/>
  <c r="R78" i="1"/>
  <c r="R76" i="1"/>
  <c r="R74" i="1"/>
  <c r="R70" i="1"/>
  <c r="R72" i="1"/>
  <c r="R48" i="1"/>
  <c r="R21" i="1"/>
  <c r="R25" i="1"/>
  <c r="R15" i="1"/>
  <c r="R13" i="1"/>
  <c r="R23" i="1"/>
  <c r="R27" i="1"/>
  <c r="N13" i="1"/>
  <c r="R29" i="1"/>
  <c r="R66" i="1"/>
  <c r="R7" i="1"/>
  <c r="R17" i="1"/>
  <c r="R31" i="1"/>
  <c r="R33" i="1"/>
  <c r="R19" i="1"/>
  <c r="R35" i="1"/>
  <c r="R68" i="1"/>
  <c r="R63" i="1"/>
  <c r="R58" i="1"/>
  <c r="R51" i="1"/>
  <c r="R53" i="1"/>
  <c r="R46" i="1"/>
  <c r="N10" i="1"/>
  <c r="R9" i="1"/>
  <c r="R5" i="1"/>
  <c r="S85" i="1" l="1"/>
  <c r="T85" i="1"/>
  <c r="S90" i="1"/>
  <c r="T90" i="1"/>
  <c r="S63" i="1"/>
  <c r="T63" i="1"/>
  <c r="S43" i="1"/>
  <c r="T43" i="1"/>
  <c r="S156" i="1"/>
  <c r="T156" i="1"/>
  <c r="T94" i="1"/>
  <c r="S94" i="1"/>
  <c r="S53" i="1"/>
  <c r="T53" i="1"/>
  <c r="S96" i="1"/>
  <c r="T96" i="1"/>
  <c r="S51" i="1"/>
  <c r="T51" i="1"/>
  <c r="S58" i="1"/>
  <c r="T58" i="1"/>
  <c r="S98" i="1"/>
  <c r="T98" i="1"/>
  <c r="S39" i="1"/>
  <c r="T39" i="1"/>
  <c r="S17" i="1"/>
  <c r="T17" i="1"/>
  <c r="S19" i="1"/>
  <c r="T19" i="1"/>
  <c r="S25" i="1"/>
  <c r="T25" i="1"/>
  <c r="S33" i="1"/>
  <c r="T33" i="1"/>
  <c r="S66" i="1"/>
  <c r="T66" i="1"/>
  <c r="S23" i="1"/>
  <c r="T23" i="1"/>
  <c r="S21" i="1"/>
  <c r="T21" i="1"/>
  <c r="S74" i="1"/>
  <c r="T74" i="1"/>
  <c r="S9" i="1"/>
  <c r="T9" i="1"/>
  <c r="S27" i="1"/>
  <c r="T27" i="1"/>
  <c r="S70" i="1"/>
  <c r="T70" i="1"/>
  <c r="S68" i="1"/>
  <c r="T68" i="1"/>
  <c r="S31" i="1"/>
  <c r="T31" i="1"/>
  <c r="S29" i="1"/>
  <c r="T29" i="1"/>
  <c r="S13" i="1"/>
  <c r="T13" i="1"/>
  <c r="S76" i="1"/>
  <c r="T76" i="1"/>
  <c r="S15" i="1"/>
  <c r="T15" i="1"/>
  <c r="S72" i="1"/>
  <c r="T72" i="1"/>
  <c r="S78" i="1"/>
  <c r="T78" i="1"/>
  <c r="S35" i="1"/>
  <c r="T35" i="1"/>
  <c r="S80" i="1"/>
  <c r="T80" i="1"/>
  <c r="S48" i="1"/>
  <c r="T48" i="1"/>
  <c r="S46" i="1"/>
  <c r="T46" i="1"/>
  <c r="S7" i="1"/>
  <c r="T7" i="1"/>
  <c r="S5" i="1"/>
  <c r="T5" i="1"/>
  <c r="S150" i="1"/>
  <c r="T150" i="1"/>
  <c r="T146" i="1"/>
  <c r="S146" i="1"/>
  <c r="T142" i="1"/>
  <c r="S142" i="1"/>
  <c r="T138" i="1"/>
  <c r="S138" i="1"/>
  <c r="S132" i="1"/>
  <c r="T132" i="1"/>
  <c r="T130" i="1"/>
  <c r="S130" i="1"/>
  <c r="S126" i="1"/>
  <c r="T126" i="1"/>
  <c r="T122" i="1"/>
  <c r="S122" i="1"/>
  <c r="T118" i="1"/>
  <c r="S118" i="1"/>
  <c r="T114" i="1"/>
  <c r="S114" i="1"/>
  <c r="T108" i="1"/>
  <c r="S108" i="1"/>
  <c r="T110" i="1"/>
  <c r="S110" i="1"/>
  <c r="S104" i="1"/>
  <c r="T104" i="1"/>
  <c r="T106" i="1"/>
  <c r="S106" i="1"/>
  <c r="S102" i="1"/>
  <c r="T102" i="1"/>
</calcChain>
</file>

<file path=xl/sharedStrings.xml><?xml version="1.0" encoding="utf-8"?>
<sst xmlns="http://schemas.openxmlformats.org/spreadsheetml/2006/main" count="1907" uniqueCount="210">
  <si>
    <t>Charge Detect Pulse Width</t>
  </si>
  <si>
    <t>Vref</t>
  </si>
  <si>
    <t>Scalar Val</t>
  </si>
  <si>
    <t>12bitScalar</t>
  </si>
  <si>
    <t>ms</t>
  </si>
  <si>
    <t>V</t>
  </si>
  <si>
    <t>Vcellmin</t>
  </si>
  <si>
    <t>VcellMax</t>
  </si>
  <si>
    <t>VcellStep</t>
  </si>
  <si>
    <t>Setting</t>
  </si>
  <si>
    <t>Unit</t>
  </si>
  <si>
    <t>Digital Value</t>
  </si>
  <si>
    <t>Hex Value</t>
  </si>
  <si>
    <t>0x01</t>
  </si>
  <si>
    <t>Register Address</t>
  </si>
  <si>
    <t>0x00</t>
  </si>
  <si>
    <t>Overvoltage Threshold</t>
  </si>
  <si>
    <t>Overvoltage Recovery</t>
  </si>
  <si>
    <t>0x02</t>
  </si>
  <si>
    <t>0x03</t>
  </si>
  <si>
    <t>Undervoltage Threshold</t>
  </si>
  <si>
    <t>0x04</t>
  </si>
  <si>
    <t>0x05</t>
  </si>
  <si>
    <t>Load Detect Pulse Width</t>
  </si>
  <si>
    <t>Undervoltage Recovery</t>
  </si>
  <si>
    <t>0X06</t>
  </si>
  <si>
    <t>0X07</t>
  </si>
  <si>
    <t>Overvoltage Lockout Threshold</t>
  </si>
  <si>
    <t>0x08</t>
  </si>
  <si>
    <t>0x09</t>
  </si>
  <si>
    <t>Actual Value</t>
  </si>
  <si>
    <t>Undervoltage Lockout Threshold</t>
  </si>
  <si>
    <t>0x0A</t>
  </si>
  <si>
    <t>0x0B</t>
  </si>
  <si>
    <t>End-of-Charge (EOC) Threshold</t>
  </si>
  <si>
    <t>0x0C</t>
  </si>
  <si>
    <t>Low Voltage Charge Level</t>
  </si>
  <si>
    <t>0x0E</t>
  </si>
  <si>
    <t>0x0D</t>
  </si>
  <si>
    <t>0x0F</t>
  </si>
  <si>
    <t>Overvoltage Delay Time Out Unit</t>
  </si>
  <si>
    <t>0x10</t>
  </si>
  <si>
    <t xml:space="preserve">Overvoltage Delay Time Out </t>
  </si>
  <si>
    <t>0x11</t>
  </si>
  <si>
    <t>0x12</t>
  </si>
  <si>
    <t>Bit 0x11.3</t>
  </si>
  <si>
    <t>Bit 0x11.2</t>
  </si>
  <si>
    <t>0x13</t>
  </si>
  <si>
    <t>0x14</t>
  </si>
  <si>
    <t>Open-Wire Timing (OWT)</t>
  </si>
  <si>
    <t>Open-Wire Timing (OWT) Unit Bit 0x15.1</t>
  </si>
  <si>
    <t>0x15</t>
  </si>
  <si>
    <t>Discharge Overcurrent Timeout</t>
  </si>
  <si>
    <t>0x16</t>
  </si>
  <si>
    <t>Discharge Overcurrent Threshold/Timeout Unit</t>
  </si>
  <si>
    <t>RSV</t>
  </si>
  <si>
    <t>Threshold</t>
  </si>
  <si>
    <t>Thresh</t>
  </si>
  <si>
    <t>mV</t>
  </si>
  <si>
    <t>0x17</t>
  </si>
  <si>
    <t>Charge Overcurrent Timeout</t>
  </si>
  <si>
    <t>Charge Overcurrent Threshold/Timeout Unit</t>
  </si>
  <si>
    <t>Discharge Short-Circuit Timeout</t>
  </si>
  <si>
    <t>Discharge Short-Circuit Threshold/Timeout Unit</t>
  </si>
  <si>
    <t>0x18</t>
  </si>
  <si>
    <t>0x19</t>
  </si>
  <si>
    <t>0x1A</t>
  </si>
  <si>
    <t>0x1B</t>
  </si>
  <si>
    <t>CB Minimum Voltage (CBMIN)</t>
  </si>
  <si>
    <t>0x1C</t>
  </si>
  <si>
    <t>0x1D</t>
  </si>
  <si>
    <t>CB Maximum Voltage (CBMAX)</t>
  </si>
  <si>
    <t>0x1E</t>
  </si>
  <si>
    <t>0x1F</t>
  </si>
  <si>
    <t>CB Minimum Differential Voltage (CBMINDIV)</t>
  </si>
  <si>
    <t>0x20</t>
  </si>
  <si>
    <t>0x21</t>
  </si>
  <si>
    <t>CB Maximum Differential Voltage (CBMAXDIV)</t>
  </si>
  <si>
    <t>0x22</t>
  </si>
  <si>
    <t>0x23</t>
  </si>
  <si>
    <t>CB On Tme (CBON)</t>
  </si>
  <si>
    <t>Bit 0x25.3</t>
  </si>
  <si>
    <t>Bit 0x13.3</t>
  </si>
  <si>
    <t>0x24</t>
  </si>
  <si>
    <t>0x25</t>
  </si>
  <si>
    <t>CB On Time Unit</t>
  </si>
  <si>
    <t>CB Off Tme (CBOFF)</t>
  </si>
  <si>
    <t>CB Off Time Unit</t>
  </si>
  <si>
    <t>Binary Value</t>
  </si>
  <si>
    <t>Cell Balance Minimum Temperature Limit (CBUTS)</t>
  </si>
  <si>
    <t>0x26</t>
  </si>
  <si>
    <t>0x27</t>
  </si>
  <si>
    <t>0x28</t>
  </si>
  <si>
    <t>0x29</t>
  </si>
  <si>
    <t>Cell Balance Minimum Temperature Recovery Level (CBUTR)</t>
  </si>
  <si>
    <t>0x2A</t>
  </si>
  <si>
    <t>0x2B</t>
  </si>
  <si>
    <t>0x2C</t>
  </si>
  <si>
    <t>0x2D</t>
  </si>
  <si>
    <t>0x2E</t>
  </si>
  <si>
    <t>Cell Balance Maximum Temperature Limit (CBOTS)</t>
  </si>
  <si>
    <t>Cell Balance Maximum Temperature Recovery Level (CBOTR)</t>
  </si>
  <si>
    <t>Charge Over-Temperature Recovery Voltage</t>
  </si>
  <si>
    <t>0x30</t>
  </si>
  <si>
    <t>0x31</t>
  </si>
  <si>
    <t>0x2F</t>
  </si>
  <si>
    <t>Charge Over-Temperature Voltage</t>
  </si>
  <si>
    <t>0x32</t>
  </si>
  <si>
    <t>0x33</t>
  </si>
  <si>
    <t>Charge Under-Temperature Voltage</t>
  </si>
  <si>
    <t>0x34</t>
  </si>
  <si>
    <t>0x35</t>
  </si>
  <si>
    <t>Charge Under-Temperature Recovery Voltage</t>
  </si>
  <si>
    <t>0x36</t>
  </si>
  <si>
    <t>0x37</t>
  </si>
  <si>
    <t>Discharge Over-Temperature Voltage</t>
  </si>
  <si>
    <t>0x38</t>
  </si>
  <si>
    <t>0x39</t>
  </si>
  <si>
    <t>Discharge Over-Temperature Recovery Voltage</t>
  </si>
  <si>
    <t>0x3A</t>
  </si>
  <si>
    <t>0x3B</t>
  </si>
  <si>
    <t>0x3C</t>
  </si>
  <si>
    <t>0x3D</t>
  </si>
  <si>
    <t>Discharge Under-Temperature Voltage</t>
  </si>
  <si>
    <t>Discharge Under-Temperature Recovery Voltage</t>
  </si>
  <si>
    <t>0x3E</t>
  </si>
  <si>
    <t>0x3F</t>
  </si>
  <si>
    <t>Internal Over-Temperature Voltage</t>
  </si>
  <si>
    <t>0x40</t>
  </si>
  <si>
    <t>0x41</t>
  </si>
  <si>
    <t>Internal Over-Temperature Recovery Voltage</t>
  </si>
  <si>
    <t>0x42</t>
  </si>
  <si>
    <t>0x43</t>
  </si>
  <si>
    <t>0x44</t>
  </si>
  <si>
    <t>0x45</t>
  </si>
  <si>
    <t>Sleep Level Voltage</t>
  </si>
  <si>
    <t>Sleep Delay</t>
  </si>
  <si>
    <t>Sleep Delay Unit</t>
  </si>
  <si>
    <t>Bit 0x47.2</t>
  </si>
  <si>
    <t>Bit 0x47.1</t>
  </si>
  <si>
    <t>0x46</t>
  </si>
  <si>
    <t>Watchdog Timer (WDT)</t>
  </si>
  <si>
    <t>0x47</t>
  </si>
  <si>
    <t>s</t>
  </si>
  <si>
    <t>Sleep Mode Timer</t>
  </si>
  <si>
    <t>min</t>
  </si>
  <si>
    <t>0x48</t>
  </si>
  <si>
    <t>Cell Configuration</t>
  </si>
  <si>
    <t>3 Cells</t>
  </si>
  <si>
    <t>4 Cells</t>
  </si>
  <si>
    <t>5 Cells</t>
  </si>
  <si>
    <t>6 Cells</t>
  </si>
  <si>
    <t>7 Cells</t>
  </si>
  <si>
    <t>8 Cells</t>
  </si>
  <si>
    <t>0X49</t>
  </si>
  <si>
    <t>Cell 8</t>
  </si>
  <si>
    <t>Cell 7</t>
  </si>
  <si>
    <t>Cell 6</t>
  </si>
  <si>
    <t>Cell 5</t>
  </si>
  <si>
    <t>Cell 4</t>
  </si>
  <si>
    <t>Celll 3</t>
  </si>
  <si>
    <t>Cell 2</t>
  </si>
  <si>
    <t>Cell 1</t>
  </si>
  <si>
    <t>Enabled</t>
  </si>
  <si>
    <t>CFPSD</t>
  </si>
  <si>
    <t>XT2M</t>
  </si>
  <si>
    <t>TGain</t>
  </si>
  <si>
    <t>PCFETE</t>
  </si>
  <si>
    <t>DOWD</t>
  </si>
  <si>
    <t>OWPSD</t>
  </si>
  <si>
    <t>0x4A</t>
  </si>
  <si>
    <t>System Settings 1</t>
  </si>
  <si>
    <t>0x4B</t>
  </si>
  <si>
    <t>CBDD</t>
  </si>
  <si>
    <t>CBDC</t>
  </si>
  <si>
    <t>DFODUV</t>
  </si>
  <si>
    <t>CFODOV</t>
  </si>
  <si>
    <t>UVLOPD</t>
  </si>
  <si>
    <t>CB_EOC</t>
  </si>
  <si>
    <t>Bit 0x13.2</t>
  </si>
  <si>
    <t>Undervoltage Delay Time Out Unit</t>
  </si>
  <si>
    <t>Bit 0x25.2</t>
  </si>
  <si>
    <t>Bit 0x27.2</t>
  </si>
  <si>
    <t>Bit 0x27.3</t>
  </si>
  <si>
    <t>Idle/Doze Mode Timer</t>
  </si>
  <si>
    <t>Do not edit anything on this sheet!</t>
  </si>
  <si>
    <t>Purpose</t>
  </si>
  <si>
    <t>This spreadsheet is intended to enable users to generate a configuration file for programming the ISL94202 and/or ISL94203 EEPROM.</t>
  </si>
  <si>
    <t>Usage</t>
  </si>
  <si>
    <t>Reg Table</t>
  </si>
  <si>
    <t>Variables</t>
  </si>
  <si>
    <t>License Agreement</t>
  </si>
  <si>
    <t>Use of this spreadsheet is governed by the Renesas License Agreement.</t>
  </si>
  <si>
    <t>Double click to open the entire document.</t>
  </si>
  <si>
    <t>The EEPROM/Control Register table from the ISL94202/3 datasheets is reproduced here and expanded.  This expansion enables the entry of desired settings and includes the calculations necessary to convert these entries into the hex values to be programmed into the device EEPROM and Registers.  This table should be filled out using the ISL94202/3 datasheet as a guide for each value.  Once all values are chosen the user depresses the "Generate Programmer File" button at the bottom of the sheet to save these settings to a file.  This file is readable by the ISL94202/3 GUIs and is intended to program both the EEPROM and Control Registers of these devices.
ONLY enter values into the light green cells  NEVER enter values into any of the other cells.  Failure to follow these instructions may have undesirable consequences.</t>
  </si>
  <si>
    <t>Failure to adhere to the Agreement may have legal consequences.</t>
  </si>
  <si>
    <t>This sheet contains constants for use in the calculations of the "Reg Table" sheet.  Do not edit anything on this sheet.  Failure to follow this instruction may have undesirable consequences.</t>
  </si>
  <si>
    <t>DO NOT EDIT Calculated values!</t>
  </si>
  <si>
    <t>Calculated values</t>
  </si>
  <si>
    <t>Enter desired setting in green boxes</t>
  </si>
  <si>
    <t>System Settings 2</t>
  </si>
  <si>
    <t>Undervoltage Delay Time Out</t>
  </si>
  <si>
    <t>0 st</t>
  </si>
  <si>
    <t>3st</t>
  </si>
  <si>
    <t>40st</t>
  </si>
  <si>
    <t>35st</t>
  </si>
  <si>
    <t>55st</t>
  </si>
  <si>
    <t>50st</t>
  </si>
  <si>
    <t>st -2</t>
  </si>
  <si>
    <t>0st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</si>
</sst>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sz val="11"/>
      <name val="Calibri"/>
      <family val="2"/>
      <scheme val="minor"/>
    </font>
    <font>
      <sz val="11"/>
      <color rgb="FFFF0000"/>
      <name val="Calibri"/>
      <family val="2"/>
      <scheme val="minor"/>
    </font>
    <font>
      <b/>
      <sz val="11"/>
      <color rgb="FFFF0000"/>
      <name val="Calibri"/>
      <family val="2"/>
      <scheme val="minor"/>
    </font>
  </fonts>
  <fills count="7">
    <fill>
      <patternFill patternType="none"/>
    </fill>
    <fill>
      <patternFill patternType="gray125"/>
    </fill>
    <fill>
      <patternFill patternType="solid">
        <fgColor theme="4"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theme="0"/>
        <bgColor indexed="64"/>
      </patternFill>
    </fill>
    <fill>
      <patternFill patternType="solid">
        <fgColor rgb="FFFFFF00"/>
        <bgColor indexed="64"/>
      </patternFill>
    </fill>
  </fills>
  <borders count="31">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s>
  <cellStyleXfs count="1">
    <xf numFmtId="0" fontId="0" fillId="0" borderId="0"/>
  </cellStyleXfs>
  <cellXfs count="110">
    <xf numFmtId="0" fontId="0" fillId="0" borderId="0" xfId="0"/>
    <xf numFmtId="0" fontId="0" fillId="0" borderId="1" xfId="0" applyBorder="1"/>
    <xf numFmtId="0" fontId="0" fillId="0" borderId="1" xfId="0" applyBorder="1" applyAlignment="1">
      <alignment horizontal="center"/>
    </xf>
    <xf numFmtId="0" fontId="0" fillId="0" borderId="0" xfId="0" applyAlignment="1">
      <alignment horizontal="center"/>
    </xf>
    <xf numFmtId="0" fontId="0" fillId="0" borderId="2" xfId="0" applyBorder="1"/>
    <xf numFmtId="0" fontId="0" fillId="2" borderId="1" xfId="0" applyFill="1" applyBorder="1"/>
    <xf numFmtId="0" fontId="0" fillId="0" borderId="4" xfId="0" applyBorder="1"/>
    <xf numFmtId="0" fontId="0" fillId="0" borderId="13" xfId="0" applyBorder="1"/>
    <xf numFmtId="0" fontId="0" fillId="0" borderId="14" xfId="0" applyBorder="1"/>
    <xf numFmtId="0" fontId="0" fillId="0" borderId="10" xfId="0" applyBorder="1"/>
    <xf numFmtId="0" fontId="0" fillId="0" borderId="15" xfId="0" applyBorder="1"/>
    <xf numFmtId="0" fontId="0" fillId="0" borderId="11" xfId="0" applyBorder="1"/>
    <xf numFmtId="0" fontId="0" fillId="3" borderId="1" xfId="0" applyFill="1" applyBorder="1" applyAlignment="1">
      <alignment horizontal="center"/>
    </xf>
    <xf numFmtId="0" fontId="0" fillId="2" borderId="1" xfId="0" applyFill="1" applyBorder="1" applyAlignment="1">
      <alignment horizontal="center"/>
    </xf>
    <xf numFmtId="0" fontId="0" fillId="5" borderId="1" xfId="0" applyFill="1" applyBorder="1"/>
    <xf numFmtId="0" fontId="0" fillId="5" borderId="0" xfId="0" applyFill="1"/>
    <xf numFmtId="0" fontId="0" fillId="0" borderId="1" xfId="0" applyBorder="1" applyAlignment="1">
      <alignment horizontal="center" vertical="center"/>
    </xf>
    <xf numFmtId="0" fontId="0" fillId="0" borderId="2" xfId="0" applyBorder="1" applyAlignment="1">
      <alignment horizontal="center"/>
    </xf>
    <xf numFmtId="0" fontId="0" fillId="5" borderId="2" xfId="0" applyFill="1" applyBorder="1" applyAlignment="1">
      <alignment horizontal="center"/>
    </xf>
    <xf numFmtId="0" fontId="0" fillId="0" borderId="10" xfId="0" applyBorder="1" applyAlignment="1">
      <alignment horizontal="center"/>
    </xf>
    <xf numFmtId="0" fontId="0" fillId="0" borderId="4" xfId="0" applyBorder="1" applyAlignment="1">
      <alignment horizontal="center"/>
    </xf>
    <xf numFmtId="0" fontId="1" fillId="0" borderId="1" xfId="0" applyFont="1" applyBorder="1" applyAlignment="1">
      <alignment horizontal="center" vertical="center"/>
    </xf>
    <xf numFmtId="0" fontId="0" fillId="2" borderId="1" xfId="0" applyFill="1" applyBorder="1" applyAlignment="1">
      <alignment horizontal="center" vertical="center"/>
    </xf>
    <xf numFmtId="0" fontId="1" fillId="2" borderId="1" xfId="0" applyFont="1" applyFill="1" applyBorder="1" applyAlignment="1">
      <alignment horizontal="center" vertical="center"/>
    </xf>
    <xf numFmtId="0" fontId="0" fillId="0" borderId="11" xfId="0" applyBorder="1" applyAlignment="1">
      <alignment horizontal="center"/>
    </xf>
    <xf numFmtId="0" fontId="0" fillId="0" borderId="15" xfId="0" applyBorder="1" applyAlignment="1">
      <alignment horizontal="center"/>
    </xf>
    <xf numFmtId="0" fontId="0" fillId="2" borderId="11" xfId="0" applyFill="1" applyBorder="1" applyAlignment="1">
      <alignment horizontal="center"/>
    </xf>
    <xf numFmtId="0" fontId="0" fillId="2" borderId="4" xfId="0" applyFill="1" applyBorder="1" applyAlignment="1">
      <alignment horizontal="center"/>
    </xf>
    <xf numFmtId="0" fontId="0" fillId="3" borderId="10" xfId="0" applyFill="1" applyBorder="1" applyAlignment="1">
      <alignment horizontal="center"/>
    </xf>
    <xf numFmtId="0" fontId="0" fillId="4" borderId="0" xfId="0" applyFill="1"/>
    <xf numFmtId="0" fontId="0" fillId="3" borderId="11" xfId="0" applyFill="1" applyBorder="1"/>
    <xf numFmtId="0" fontId="2" fillId="0" borderId="1" xfId="0" applyFont="1" applyBorder="1" applyAlignment="1">
      <alignment horizontal="center" vertical="center"/>
    </xf>
    <xf numFmtId="0" fontId="0" fillId="2" borderId="10" xfId="0" applyFill="1" applyBorder="1" applyAlignment="1">
      <alignment horizontal="center"/>
    </xf>
    <xf numFmtId="0" fontId="0" fillId="3" borderId="15" xfId="0" applyFill="1" applyBorder="1"/>
    <xf numFmtId="0" fontId="1" fillId="2" borderId="1" xfId="0" applyFont="1" applyFill="1" applyBorder="1" applyAlignment="1">
      <alignment horizontal="center"/>
    </xf>
    <xf numFmtId="0" fontId="0" fillId="0" borderId="0" xfId="0" applyAlignment="1">
      <alignment vertical="center"/>
    </xf>
    <xf numFmtId="0" fontId="0" fillId="4" borderId="1" xfId="0" applyFill="1" applyBorder="1" applyAlignment="1">
      <alignment horizontal="center"/>
    </xf>
    <xf numFmtId="0" fontId="0" fillId="2" borderId="0" xfId="0" applyFill="1"/>
    <xf numFmtId="0" fontId="2" fillId="0" borderId="0" xfId="0" applyFont="1"/>
    <xf numFmtId="0" fontId="1" fillId="0" borderId="0" xfId="0" applyFont="1"/>
    <xf numFmtId="0" fontId="0" fillId="0" borderId="0" xfId="0" applyAlignment="1">
      <alignment horizontal="left" vertical="center" wrapText="1"/>
    </xf>
    <xf numFmtId="0" fontId="0" fillId="0" borderId="25" xfId="0" applyBorder="1" applyAlignment="1">
      <alignment vertical="center"/>
    </xf>
    <xf numFmtId="0" fontId="0" fillId="0" borderId="26" xfId="0" applyBorder="1" applyAlignment="1">
      <alignment horizontal="left" vertical="center" wrapText="1"/>
    </xf>
    <xf numFmtId="0" fontId="0" fillId="0" borderId="27" xfId="0" applyBorder="1" applyAlignment="1">
      <alignment vertical="center"/>
    </xf>
    <xf numFmtId="0" fontId="0" fillId="0" borderId="28" xfId="0" applyBorder="1" applyAlignment="1">
      <alignment horizontal="left" vertical="center" wrapText="1"/>
    </xf>
    <xf numFmtId="0" fontId="0" fillId="0" borderId="29" xfId="0" applyBorder="1" applyAlignment="1">
      <alignment vertical="center" wrapText="1"/>
    </xf>
    <xf numFmtId="0" fontId="0" fillId="0" borderId="30" xfId="0" applyBorder="1" applyAlignment="1">
      <alignment horizontal="left" vertical="center" wrapText="1"/>
    </xf>
    <xf numFmtId="49" fontId="0" fillId="0" borderId="0" xfId="0" applyNumberFormat="1"/>
    <xf numFmtId="0" fontId="1" fillId="2" borderId="19" xfId="0" applyFont="1" applyFill="1" applyBorder="1" applyAlignment="1">
      <alignment horizontal="center" vertical="center"/>
    </xf>
    <xf numFmtId="0" fontId="1" fillId="2" borderId="20" xfId="0" applyFont="1" applyFill="1" applyBorder="1" applyAlignment="1">
      <alignment horizontal="center" vertical="center"/>
    </xf>
    <xf numFmtId="0" fontId="1" fillId="2" borderId="21" xfId="0" applyFont="1" applyFill="1" applyBorder="1" applyAlignment="1">
      <alignment horizontal="center" vertical="center"/>
    </xf>
    <xf numFmtId="0" fontId="1" fillId="2" borderId="22" xfId="0" applyFont="1" applyFill="1" applyBorder="1" applyAlignment="1">
      <alignment horizontal="center" vertical="center"/>
    </xf>
    <xf numFmtId="0" fontId="1" fillId="2" borderId="23" xfId="0" applyFont="1" applyFill="1" applyBorder="1" applyAlignment="1">
      <alignment horizontal="center" vertical="center"/>
    </xf>
    <xf numFmtId="0" fontId="1" fillId="2" borderId="24" xfId="0" applyFont="1" applyFill="1" applyBorder="1" applyAlignment="1">
      <alignment horizontal="center" vertical="center"/>
    </xf>
    <xf numFmtId="0" fontId="0" fillId="3" borderId="2" xfId="0" applyFill="1" applyBorder="1" applyAlignment="1">
      <alignment horizontal="center"/>
    </xf>
    <xf numFmtId="0" fontId="0" fillId="3" borderId="3" xfId="0" applyFill="1" applyBorder="1" applyAlignment="1">
      <alignment horizontal="center"/>
    </xf>
    <xf numFmtId="0" fontId="0" fillId="3" borderId="4" xfId="0" applyFill="1" applyBorder="1" applyAlignment="1">
      <alignment horizontal="center"/>
    </xf>
    <xf numFmtId="0" fontId="0" fillId="0" borderId="1" xfId="0" applyBorder="1" applyAlignment="1">
      <alignment horizontal="center"/>
    </xf>
    <xf numFmtId="0" fontId="0" fillId="0" borderId="20" xfId="0" applyBorder="1" applyAlignment="1">
      <alignment horizontal="center" vertical="center"/>
    </xf>
    <xf numFmtId="0" fontId="0" fillId="3" borderId="12" xfId="0" applyFill="1" applyBorder="1" applyAlignment="1">
      <alignment horizontal="center" vertical="center"/>
    </xf>
    <xf numFmtId="0" fontId="0" fillId="3" borderId="5" xfId="0" applyFill="1" applyBorder="1" applyAlignment="1">
      <alignment horizontal="center" vertical="center"/>
    </xf>
    <xf numFmtId="0" fontId="0" fillId="3" borderId="13" xfId="0" applyFill="1" applyBorder="1" applyAlignment="1">
      <alignment horizontal="center" vertical="center"/>
    </xf>
    <xf numFmtId="0" fontId="0" fillId="3" borderId="6" xfId="0" applyFill="1" applyBorder="1" applyAlignment="1">
      <alignment horizontal="center" vertical="center"/>
    </xf>
    <xf numFmtId="0" fontId="0" fillId="3" borderId="7" xfId="0" applyFill="1" applyBorder="1" applyAlignment="1">
      <alignment horizontal="center" vertical="center"/>
    </xf>
    <xf numFmtId="0" fontId="0" fillId="3" borderId="8" xfId="0" applyFill="1"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 xfId="0" applyBorder="1" applyAlignment="1">
      <alignment horizontal="center" wrapText="1"/>
    </xf>
    <xf numFmtId="0" fontId="0" fillId="0" borderId="1" xfId="0" applyBorder="1" applyAlignment="1">
      <alignment horizontal="center" vertical="center" wrapText="1"/>
    </xf>
    <xf numFmtId="0" fontId="0" fillId="3" borderId="16" xfId="0" applyFill="1" applyBorder="1" applyAlignment="1">
      <alignment horizontal="left" vertical="center"/>
    </xf>
    <xf numFmtId="0" fontId="0" fillId="3" borderId="17" xfId="0" applyFill="1" applyBorder="1" applyAlignment="1">
      <alignment horizontal="left" vertical="center"/>
    </xf>
    <xf numFmtId="0" fontId="0" fillId="3" borderId="18" xfId="0" applyFill="1" applyBorder="1" applyAlignment="1">
      <alignment horizontal="left" vertical="center"/>
    </xf>
    <xf numFmtId="0" fontId="0" fillId="3" borderId="1" xfId="0" applyFill="1" applyBorder="1" applyAlignment="1">
      <alignment horizontal="center"/>
    </xf>
    <xf numFmtId="0" fontId="0" fillId="0" borderId="1" xfId="0" applyBorder="1" applyAlignment="1">
      <alignment horizontal="center" vertical="center"/>
    </xf>
    <xf numFmtId="0" fontId="0" fillId="5" borderId="1" xfId="0" applyFill="1" applyBorder="1" applyAlignment="1">
      <alignment horizontal="center"/>
    </xf>
    <xf numFmtId="0" fontId="0" fillId="3" borderId="1" xfId="0" applyFill="1" applyBorder="1" applyAlignment="1">
      <alignment horizontal="center" vertical="center"/>
    </xf>
    <xf numFmtId="0" fontId="0" fillId="2" borderId="1" xfId="0" applyFill="1" applyBorder="1" applyAlignment="1">
      <alignment horizontal="center" vertical="center"/>
    </xf>
    <xf numFmtId="0" fontId="0" fillId="0" borderId="13" xfId="0" applyBorder="1" applyAlignment="1">
      <alignment horizontal="center" vertical="center"/>
    </xf>
    <xf numFmtId="0" fontId="0" fillId="0" borderId="8" xfId="0" applyBorder="1" applyAlignment="1">
      <alignment horizontal="center" vertical="center"/>
    </xf>
    <xf numFmtId="0" fontId="0" fillId="2" borderId="10" xfId="0" applyFill="1" applyBorder="1" applyAlignment="1">
      <alignment horizontal="center" vertical="center"/>
    </xf>
    <xf numFmtId="0" fontId="0" fillId="2" borderId="11" xfId="0" applyFill="1" applyBorder="1" applyAlignment="1">
      <alignment horizontal="center" vertical="center"/>
    </xf>
    <xf numFmtId="0" fontId="0" fillId="0" borderId="15" xfId="0" applyBorder="1" applyAlignment="1">
      <alignment horizontal="center" vertical="center"/>
    </xf>
    <xf numFmtId="0" fontId="0" fillId="2" borderId="15" xfId="0" applyFill="1" applyBorder="1" applyAlignment="1">
      <alignment horizontal="center" vertical="center"/>
    </xf>
    <xf numFmtId="0" fontId="0" fillId="3" borderId="9" xfId="0" applyFill="1" applyBorder="1" applyAlignment="1">
      <alignment horizontal="center" vertical="center"/>
    </xf>
    <xf numFmtId="0" fontId="0" fillId="3" borderId="0" xfId="0" applyFill="1" applyAlignment="1">
      <alignment horizontal="center" vertical="center"/>
    </xf>
    <xf numFmtId="0" fontId="0" fillId="3" borderId="14" xfId="0" applyFill="1" applyBorder="1" applyAlignment="1">
      <alignment horizontal="center" vertical="center"/>
    </xf>
    <xf numFmtId="0" fontId="0" fillId="0" borderId="2" xfId="0" applyBorder="1" applyAlignment="1">
      <alignment horizontal="center"/>
    </xf>
    <xf numFmtId="0" fontId="0" fillId="0" borderId="3" xfId="0" applyBorder="1" applyAlignment="1">
      <alignment horizontal="center"/>
    </xf>
    <xf numFmtId="0" fontId="0" fillId="0" borderId="4" xfId="0" applyBorder="1" applyAlignment="1">
      <alignment horizontal="center"/>
    </xf>
    <xf numFmtId="0" fontId="0" fillId="0" borderId="6" xfId="0" applyBorder="1" applyAlignment="1">
      <alignment horizontal="center"/>
    </xf>
    <xf numFmtId="0" fontId="0" fillId="0" borderId="7" xfId="0" applyBorder="1" applyAlignment="1">
      <alignment horizontal="center"/>
    </xf>
    <xf numFmtId="0" fontId="0" fillId="0" borderId="8" xfId="0" applyBorder="1" applyAlignment="1">
      <alignment horizontal="center"/>
    </xf>
    <xf numFmtId="0" fontId="0" fillId="0" borderId="12" xfId="0" applyBorder="1" applyAlignment="1">
      <alignment horizontal="center"/>
    </xf>
    <xf numFmtId="0" fontId="0" fillId="0" borderId="5" xfId="0" applyBorder="1" applyAlignment="1">
      <alignment horizontal="center"/>
    </xf>
    <xf numFmtId="0" fontId="0" fillId="4" borderId="2" xfId="0" applyFill="1" applyBorder="1" applyAlignment="1">
      <alignment horizontal="center"/>
    </xf>
    <xf numFmtId="0" fontId="0" fillId="4" borderId="3" xfId="0" applyFill="1" applyBorder="1" applyAlignment="1">
      <alignment horizontal="center"/>
    </xf>
    <xf numFmtId="0" fontId="0" fillId="4" borderId="4" xfId="0" applyFill="1" applyBorder="1" applyAlignment="1">
      <alignment horizontal="center"/>
    </xf>
    <xf numFmtId="0" fontId="1" fillId="3" borderId="1" xfId="0" applyFont="1" applyFill="1" applyBorder="1" applyAlignment="1">
      <alignment horizontal="center" vertical="center"/>
    </xf>
    <xf numFmtId="0" fontId="0" fillId="0" borderId="10" xfId="0" applyBorder="1" applyAlignment="1">
      <alignment horizontal="center"/>
    </xf>
    <xf numFmtId="0" fontId="0" fillId="0" borderId="11" xfId="0" applyBorder="1" applyAlignment="1">
      <alignment horizontal="center"/>
    </xf>
    <xf numFmtId="0" fontId="0" fillId="3" borderId="11" xfId="0" applyFill="1" applyBorder="1" applyAlignment="1">
      <alignment horizontal="center"/>
    </xf>
    <xf numFmtId="0" fontId="0" fillId="5" borderId="1" xfId="0" applyFill="1" applyBorder="1" applyAlignment="1">
      <alignment horizontal="center" vertical="center"/>
    </xf>
    <xf numFmtId="0" fontId="0" fillId="4" borderId="12" xfId="0" applyFill="1" applyBorder="1" applyAlignment="1">
      <alignment horizontal="center"/>
    </xf>
    <xf numFmtId="0" fontId="0" fillId="4" borderId="5" xfId="0" applyFill="1" applyBorder="1" applyAlignment="1">
      <alignment horizontal="center"/>
    </xf>
    <xf numFmtId="0" fontId="0" fillId="4" borderId="13" xfId="0" applyFill="1" applyBorder="1" applyAlignment="1">
      <alignment horizontal="center"/>
    </xf>
    <xf numFmtId="0" fontId="0" fillId="5" borderId="2" xfId="0" applyFill="1" applyBorder="1" applyAlignment="1">
      <alignment horizontal="center" vertical="center"/>
    </xf>
    <xf numFmtId="0" fontId="0" fillId="0" borderId="12" xfId="0" applyBorder="1" applyAlignment="1">
      <alignment horizontal="center" vertical="center"/>
    </xf>
    <xf numFmtId="0" fontId="0" fillId="0" borderId="6" xfId="0" applyBorder="1" applyAlignment="1">
      <alignment horizontal="center" vertical="center"/>
    </xf>
    <xf numFmtId="0" fontId="3" fillId="6" borderId="0" xfId="0" applyFont="1" applyFill="1" applyAlignment="1">
      <alignment horizontal="center" vertical="center"/>
    </xf>
    <xf numFmtId="0" fontId="0" fillId="0" borderId="0" xfId="0" applyAlignment="1">
      <alignment horizontal="center" vertical="center"/>
    </xf>
  </cellXfs>
  <cellStyles count="1">
    <cellStyle name="Normalny"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600075</xdr:colOff>
          <xdr:row>176</xdr:row>
          <xdr:rowOff>104775</xdr:rowOff>
        </xdr:from>
        <xdr:to>
          <xdr:col>13</xdr:col>
          <xdr:colOff>333375</xdr:colOff>
          <xdr:row>180</xdr:row>
          <xdr:rowOff>114300</xdr:rowOff>
        </xdr:to>
        <xdr:sp macro="" textlink="">
          <xdr:nvSpPr>
            <xdr:cNvPr id="27649" name="btnGenerateFile" hidden="1">
              <a:extLst>
                <a:ext uri="{63B3BB69-23CF-44E3-9099-C40C66FF867C}">
                  <a14:compatExt spid="_x0000_s27649"/>
                </a:ext>
                <a:ext uri="{FF2B5EF4-FFF2-40B4-BE49-F238E27FC236}">
                  <a16:creationId xmlns:a16="http://schemas.microsoft.com/office/drawing/2014/main" id="{00000000-0008-0000-0000-000001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600075</xdr:colOff>
          <xdr:row>176</xdr:row>
          <xdr:rowOff>104775</xdr:rowOff>
        </xdr:from>
        <xdr:to>
          <xdr:col>13</xdr:col>
          <xdr:colOff>333375</xdr:colOff>
          <xdr:row>180</xdr:row>
          <xdr:rowOff>95250</xdr:rowOff>
        </xdr:to>
        <xdr:sp macro="" textlink="">
          <xdr:nvSpPr>
            <xdr:cNvPr id="20481" name="btnGenerateFile" hidden="1">
              <a:extLst>
                <a:ext uri="{63B3BB69-23CF-44E3-9099-C40C66FF867C}">
                  <a14:compatExt spid="_x0000_s20481"/>
                </a:ext>
                <a:ext uri="{FF2B5EF4-FFF2-40B4-BE49-F238E27FC236}">
                  <a16:creationId xmlns:a16="http://schemas.microsoft.com/office/drawing/2014/main" id="{00000000-0008-0000-01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600075</xdr:colOff>
          <xdr:row>176</xdr:row>
          <xdr:rowOff>104775</xdr:rowOff>
        </xdr:from>
        <xdr:to>
          <xdr:col>13</xdr:col>
          <xdr:colOff>333375</xdr:colOff>
          <xdr:row>180</xdr:row>
          <xdr:rowOff>85725</xdr:rowOff>
        </xdr:to>
        <xdr:sp macro="" textlink="">
          <xdr:nvSpPr>
            <xdr:cNvPr id="1026" name="btnGenerateFile" hidden="1">
              <a:extLst>
                <a:ext uri="{63B3BB69-23CF-44E3-9099-C40C66FF867C}">
                  <a14:compatExt spid="_x0000_s1026"/>
                </a:ext>
                <a:ext uri="{FF2B5EF4-FFF2-40B4-BE49-F238E27FC236}">
                  <a16:creationId xmlns:a16="http://schemas.microsoft.com/office/drawing/2014/main" id="{00000000-0008-0000-03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600075</xdr:colOff>
          <xdr:row>176</xdr:row>
          <xdr:rowOff>104775</xdr:rowOff>
        </xdr:from>
        <xdr:to>
          <xdr:col>13</xdr:col>
          <xdr:colOff>333375</xdr:colOff>
          <xdr:row>180</xdr:row>
          <xdr:rowOff>85725</xdr:rowOff>
        </xdr:to>
        <xdr:sp macro="" textlink="">
          <xdr:nvSpPr>
            <xdr:cNvPr id="7169" name="btnGenerateFile" hidden="1">
              <a:extLst>
                <a:ext uri="{63B3BB69-23CF-44E3-9099-C40C66FF867C}">
                  <a14:compatExt spid="_x0000_s7169"/>
                </a:ext>
                <a:ext uri="{FF2B5EF4-FFF2-40B4-BE49-F238E27FC236}">
                  <a16:creationId xmlns:a16="http://schemas.microsoft.com/office/drawing/2014/main" id="{00000000-0008-0000-04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600075</xdr:colOff>
          <xdr:row>176</xdr:row>
          <xdr:rowOff>104775</xdr:rowOff>
        </xdr:from>
        <xdr:to>
          <xdr:col>13</xdr:col>
          <xdr:colOff>333375</xdr:colOff>
          <xdr:row>180</xdr:row>
          <xdr:rowOff>95250</xdr:rowOff>
        </xdr:to>
        <xdr:sp macro="" textlink="">
          <xdr:nvSpPr>
            <xdr:cNvPr id="13313" name="btnGenerateFile" hidden="1">
              <a:extLst>
                <a:ext uri="{63B3BB69-23CF-44E3-9099-C40C66FF867C}">
                  <a14:compatExt spid="_x0000_s13313"/>
                </a:ext>
                <a:ext uri="{FF2B5EF4-FFF2-40B4-BE49-F238E27FC236}">
                  <a16:creationId xmlns:a16="http://schemas.microsoft.com/office/drawing/2014/main" id="{00000000-0008-0000-0500-000001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600075</xdr:colOff>
          <xdr:row>176</xdr:row>
          <xdr:rowOff>104775</xdr:rowOff>
        </xdr:from>
        <xdr:to>
          <xdr:col>13</xdr:col>
          <xdr:colOff>333375</xdr:colOff>
          <xdr:row>180</xdr:row>
          <xdr:rowOff>95250</xdr:rowOff>
        </xdr:to>
        <xdr:sp macro="" textlink="">
          <xdr:nvSpPr>
            <xdr:cNvPr id="10241" name="btnGenerateFile" hidden="1">
              <a:extLst>
                <a:ext uri="{63B3BB69-23CF-44E3-9099-C40C66FF867C}">
                  <a14:compatExt spid="_x0000_s10241"/>
                </a:ext>
                <a:ext uri="{FF2B5EF4-FFF2-40B4-BE49-F238E27FC236}">
                  <a16:creationId xmlns:a16="http://schemas.microsoft.com/office/drawing/2014/main" id="{00000000-0008-0000-06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600075</xdr:colOff>
          <xdr:row>176</xdr:row>
          <xdr:rowOff>104775</xdr:rowOff>
        </xdr:from>
        <xdr:to>
          <xdr:col>13</xdr:col>
          <xdr:colOff>333375</xdr:colOff>
          <xdr:row>180</xdr:row>
          <xdr:rowOff>95250</xdr:rowOff>
        </xdr:to>
        <xdr:sp macro="" textlink="">
          <xdr:nvSpPr>
            <xdr:cNvPr id="5121" name="btnGenerateFile" hidden="1">
              <a:extLst>
                <a:ext uri="{63B3BB69-23CF-44E3-9099-C40C66FF867C}">
                  <a14:compatExt spid="_x0000_s5121"/>
                </a:ext>
                <a:ext uri="{FF2B5EF4-FFF2-40B4-BE49-F238E27FC236}">
                  <a16:creationId xmlns:a16="http://schemas.microsoft.com/office/drawing/2014/main" id="{00000000-0008-0000-07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0</xdr:rowOff>
        </xdr:from>
        <xdr:to>
          <xdr:col>8</xdr:col>
          <xdr:colOff>409575</xdr:colOff>
          <xdr:row>33</xdr:row>
          <xdr:rowOff>180975</xdr:rowOff>
        </xdr:to>
        <xdr:sp macro="" textlink="">
          <xdr:nvSpPr>
            <xdr:cNvPr id="4099" name="Object 3" hidden="1">
              <a:extLst>
                <a:ext uri="{63B3BB69-23CF-44E3-9099-C40C66FF867C}">
                  <a14:compatExt spid="_x0000_s4099"/>
                </a:ext>
                <a:ext uri="{FF2B5EF4-FFF2-40B4-BE49-F238E27FC236}">
                  <a16:creationId xmlns:a16="http://schemas.microsoft.com/office/drawing/2014/main" id="{00000000-0008-0000-0900-00000310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3.emf"/><Relationship Id="rId4" Type="http://schemas.openxmlformats.org/officeDocument/2006/relationships/control" Target="../activeX/activeX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4.emf"/><Relationship Id="rId4" Type="http://schemas.openxmlformats.org/officeDocument/2006/relationships/control" Target="../activeX/activeX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5.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image" Target="../media/image7.emf"/><Relationship Id="rId4" Type="http://schemas.openxmlformats.org/officeDocument/2006/relationships/control" Target="../activeX/activeX7.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9.bin"/><Relationship Id="rId5" Type="http://schemas.openxmlformats.org/officeDocument/2006/relationships/image" Target="../media/image8.emf"/><Relationship Id="rId4" Type="http://schemas.openxmlformats.org/officeDocument/2006/relationships/oleObject" Target="../embeddings/oleObject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812BDC-0001-4B87-9775-BA2FDCA75847}">
  <sheetPr codeName="Sheet8"/>
  <dimension ref="A3:V173"/>
  <sheetViews>
    <sheetView tabSelected="1" zoomScaleNormal="100" workbookViewId="0">
      <pane ySplit="4" topLeftCell="A22" activePane="bottomLeft" state="frozen"/>
      <selection pane="bottomLeft" activeCell="E29" sqref="E29:L31"/>
    </sheetView>
  </sheetViews>
  <sheetFormatPr defaultRowHeight="15" x14ac:dyDescent="0.25"/>
  <cols>
    <col min="2" max="3" width="10.5703125" customWidth="1"/>
    <col min="16" max="16" width="9.42578125" customWidth="1"/>
    <col min="22" max="22" width="28.7109375" customWidth="1"/>
  </cols>
  <sheetData>
    <row r="3" spans="1:22" x14ac:dyDescent="0.25">
      <c r="E3" s="73" t="s">
        <v>9</v>
      </c>
      <c r="F3" s="73"/>
      <c r="G3" s="73"/>
      <c r="H3" s="73"/>
      <c r="I3" s="73"/>
      <c r="J3" s="73"/>
      <c r="K3" s="73"/>
      <c r="L3" s="73"/>
      <c r="M3" s="65" t="s">
        <v>10</v>
      </c>
      <c r="N3" s="73" t="s">
        <v>30</v>
      </c>
      <c r="O3" s="73"/>
      <c r="P3" s="67" t="s">
        <v>11</v>
      </c>
      <c r="Q3" s="67" t="s">
        <v>14</v>
      </c>
      <c r="R3" s="67" t="s">
        <v>11</v>
      </c>
      <c r="S3" s="67" t="s">
        <v>12</v>
      </c>
      <c r="T3" s="68" t="s">
        <v>88</v>
      </c>
    </row>
    <row r="4" spans="1:22" x14ac:dyDescent="0.25">
      <c r="E4" s="73"/>
      <c r="F4" s="73"/>
      <c r="G4" s="73"/>
      <c r="H4" s="73"/>
      <c r="I4" s="73"/>
      <c r="J4" s="73"/>
      <c r="K4" s="73"/>
      <c r="L4" s="73"/>
      <c r="M4" s="66"/>
      <c r="N4" s="73"/>
      <c r="O4" s="73"/>
      <c r="P4" s="67"/>
      <c r="Q4" s="67"/>
      <c r="R4" s="67"/>
      <c r="S4" s="67"/>
      <c r="T4" s="68"/>
    </row>
    <row r="5" spans="1:22" ht="15.75" thickBot="1" x14ac:dyDescent="0.3">
      <c r="E5" s="57" t="s">
        <v>16</v>
      </c>
      <c r="F5" s="57"/>
      <c r="G5" s="57"/>
      <c r="H5" s="57"/>
      <c r="I5" s="57"/>
      <c r="J5" s="57"/>
      <c r="K5" s="57"/>
      <c r="L5" s="57"/>
      <c r="N5" s="4"/>
      <c r="O5" s="7"/>
      <c r="P5" s="9"/>
      <c r="Q5" s="2" t="s">
        <v>15</v>
      </c>
      <c r="R5" s="13">
        <f>_xlfn.BITAND(P6,255)</f>
        <v>8</v>
      </c>
      <c r="S5" s="13" t="str">
        <f>IF(R5&lt;16,CONCATENATE("0x0",(DEC2HEX(R5))),CONCATENATE("0x",(DEC2HEX(R5))))</f>
        <v>0x08</v>
      </c>
      <c r="T5" s="5" t="str">
        <f>DEC2BIN(R5,8)</f>
        <v>00001000</v>
      </c>
      <c r="V5" t="str">
        <f>IF((S5=U5),"", CONCATENATE(S5,","))</f>
        <v>0x08,</v>
      </c>
    </row>
    <row r="6" spans="1:22" ht="15.75" thickBot="1" x14ac:dyDescent="0.3">
      <c r="A6" s="69" t="s">
        <v>199</v>
      </c>
      <c r="B6" s="70"/>
      <c r="C6" s="71"/>
      <c r="E6" s="72">
        <v>4.21</v>
      </c>
      <c r="F6" s="72"/>
      <c r="G6" s="72"/>
      <c r="H6" s="72"/>
      <c r="I6" s="72"/>
      <c r="J6" s="72"/>
      <c r="K6" s="72"/>
      <c r="L6" s="72"/>
      <c r="M6" s="18" t="s">
        <v>5</v>
      </c>
      <c r="N6" s="5">
        <f>(P6*Variables!C1/Variables!C3)*Variables!C2</f>
        <v>4.2104029304029362</v>
      </c>
      <c r="O6" s="2" t="s">
        <v>5</v>
      </c>
      <c r="P6" s="5">
        <f>(IF(E6&lt;0,0,IF(E6&gt;4.8,4095,ROUND((E6/Variables!F3),0))))</f>
        <v>3592</v>
      </c>
      <c r="Q6" s="25"/>
      <c r="R6" s="25"/>
      <c r="S6" s="2"/>
      <c r="T6" s="1"/>
      <c r="V6" t="str">
        <f t="shared" ref="V6:V68" si="0">IF((S6=U6),"", CONCATENATE(S6,","))</f>
        <v/>
      </c>
    </row>
    <row r="7" spans="1:22" ht="15.75" thickBot="1" x14ac:dyDescent="0.3">
      <c r="E7" s="57" t="s">
        <v>0</v>
      </c>
      <c r="F7" s="57"/>
      <c r="G7" s="57"/>
      <c r="H7" s="57"/>
      <c r="I7" s="57"/>
      <c r="J7" s="57"/>
      <c r="K7" s="57"/>
      <c r="L7" s="57"/>
      <c r="N7" s="4"/>
      <c r="O7" s="8"/>
      <c r="P7" s="10"/>
      <c r="Q7" s="2" t="s">
        <v>13</v>
      </c>
      <c r="R7" s="13">
        <f>(P8*2^4)+((_xlfn.BITAND(P6,3840))/(2^8))</f>
        <v>254</v>
      </c>
      <c r="S7" s="13" t="str">
        <f>IF(R7&lt;16,CONCATENATE("0x0",(DEC2HEX(R7))),CONCATENATE("0x",(DEC2HEX(R7))))</f>
        <v>0xFE</v>
      </c>
      <c r="T7" s="5" t="str">
        <f>DEC2BIN(R7,8)</f>
        <v>11111110</v>
      </c>
      <c r="V7" t="str">
        <f t="shared" si="0"/>
        <v>0xFE,</v>
      </c>
    </row>
    <row r="8" spans="1:22" x14ac:dyDescent="0.25">
      <c r="A8" s="48" t="s">
        <v>198</v>
      </c>
      <c r="B8" s="49"/>
      <c r="C8" s="50"/>
      <c r="E8" s="54">
        <v>15</v>
      </c>
      <c r="F8" s="55"/>
      <c r="G8" s="55"/>
      <c r="H8" s="55"/>
      <c r="I8" s="55"/>
      <c r="J8" s="55"/>
      <c r="K8" s="55"/>
      <c r="L8" s="56"/>
      <c r="M8" s="18" t="s">
        <v>4</v>
      </c>
      <c r="N8" s="5">
        <f>(IF(E8&lt;0,0,IF(E8&gt;15,15,ROUND(E8,0))))</f>
        <v>15</v>
      </c>
      <c r="O8" s="16" t="s">
        <v>4</v>
      </c>
      <c r="P8" s="5">
        <f>N8</f>
        <v>15</v>
      </c>
      <c r="Q8" s="25"/>
      <c r="R8" s="25"/>
      <c r="S8" s="2"/>
      <c r="T8" s="1"/>
      <c r="V8" t="str">
        <f t="shared" si="0"/>
        <v/>
      </c>
    </row>
    <row r="9" spans="1:22" ht="15.75" thickBot="1" x14ac:dyDescent="0.3">
      <c r="A9" s="51"/>
      <c r="B9" s="52"/>
      <c r="C9" s="53"/>
      <c r="E9" s="57" t="s">
        <v>17</v>
      </c>
      <c r="F9" s="57"/>
      <c r="G9" s="57"/>
      <c r="H9" s="57"/>
      <c r="I9" s="57"/>
      <c r="J9" s="57"/>
      <c r="K9" s="57"/>
      <c r="L9" s="57"/>
      <c r="M9" s="1"/>
      <c r="P9" s="1"/>
      <c r="Q9" s="2" t="s">
        <v>18</v>
      </c>
      <c r="R9" s="13">
        <f>_xlfn.BITAND(P10,255)</f>
        <v>238</v>
      </c>
      <c r="S9" s="13" t="str">
        <f>IF(R9&lt;16,CONCATENATE("0x0",(DEC2HEX(R9))),CONCATENATE("0x",(DEC2HEX(R9))))</f>
        <v>0xEE</v>
      </c>
      <c r="T9" s="5" t="str">
        <f>DEC2BIN(R9,8)</f>
        <v>11101110</v>
      </c>
      <c r="V9" t="str">
        <f t="shared" si="0"/>
        <v>0xEE,</v>
      </c>
    </row>
    <row r="10" spans="1:22" x14ac:dyDescent="0.25">
      <c r="A10" s="58" t="s">
        <v>197</v>
      </c>
      <c r="B10" s="58"/>
      <c r="C10" s="58"/>
      <c r="E10" s="59">
        <v>4.18</v>
      </c>
      <c r="F10" s="60"/>
      <c r="G10" s="60"/>
      <c r="H10" s="60"/>
      <c r="I10" s="60"/>
      <c r="J10" s="60"/>
      <c r="K10" s="60"/>
      <c r="L10" s="61"/>
      <c r="M10" s="65" t="s">
        <v>5</v>
      </c>
      <c r="N10" s="76">
        <f>(P10*Variables!C1/Variables!C3)*Variables!C2</f>
        <v>4.1799267399267448</v>
      </c>
      <c r="O10" s="77" t="s">
        <v>5</v>
      </c>
      <c r="P10" s="79">
        <f>(IF(E10&lt;0,0,IF(E10&gt;4.8,4095,ROUND((E10/Variables!F3),0))))</f>
        <v>3566</v>
      </c>
      <c r="Q10" s="2"/>
      <c r="R10" s="3"/>
      <c r="S10" s="2"/>
      <c r="T10" s="1"/>
      <c r="V10" t="str">
        <f t="shared" si="0"/>
        <v/>
      </c>
    </row>
    <row r="11" spans="1:22" x14ac:dyDescent="0.25">
      <c r="E11" s="62"/>
      <c r="F11" s="63"/>
      <c r="G11" s="63"/>
      <c r="H11" s="63"/>
      <c r="I11" s="63"/>
      <c r="J11" s="63"/>
      <c r="K11" s="63"/>
      <c r="L11" s="64"/>
      <c r="M11" s="66"/>
      <c r="N11" s="76"/>
      <c r="O11" s="78"/>
      <c r="P11" s="80"/>
      <c r="Q11" s="2" t="s">
        <v>19</v>
      </c>
      <c r="R11" s="13">
        <f>((_xlfn.BITAND(P10,3840))/(2^8))</f>
        <v>13</v>
      </c>
      <c r="S11" s="13" t="str">
        <f>IF(R11&lt;16,CONCATENATE("0x0",(DEC2HEX(R11))),CONCATENATE("0x",(DEC2HEX(R11))))</f>
        <v>0x0D</v>
      </c>
      <c r="T11" s="5" t="str">
        <f>DEC2BIN(R11,8)</f>
        <v>00001101</v>
      </c>
      <c r="V11" t="str">
        <f t="shared" si="0"/>
        <v>0x0D,</v>
      </c>
    </row>
    <row r="12" spans="1:22" x14ac:dyDescent="0.25">
      <c r="E12" s="57" t="s">
        <v>20</v>
      </c>
      <c r="F12" s="57"/>
      <c r="G12" s="57"/>
      <c r="H12" s="57"/>
      <c r="I12" s="57"/>
      <c r="J12" s="57"/>
      <c r="K12" s="57"/>
      <c r="L12" s="57"/>
      <c r="M12" s="4"/>
      <c r="N12" s="14"/>
      <c r="O12" s="6"/>
      <c r="P12" s="14"/>
      <c r="Q12" s="2"/>
      <c r="R12" s="3"/>
      <c r="S12" s="2"/>
      <c r="T12" s="1"/>
      <c r="V12" t="str">
        <f t="shared" si="0"/>
        <v/>
      </c>
    </row>
    <row r="13" spans="1:22" x14ac:dyDescent="0.25">
      <c r="E13" s="72">
        <v>2.6</v>
      </c>
      <c r="F13" s="72"/>
      <c r="G13" s="72"/>
      <c r="H13" s="72"/>
      <c r="I13" s="72"/>
      <c r="J13" s="72"/>
      <c r="K13" s="72"/>
      <c r="L13" s="72"/>
      <c r="M13" s="17" t="s">
        <v>5</v>
      </c>
      <c r="N13" s="5">
        <f>(P13*Variables!C1/Variables!C3)*Variables!C2</f>
        <v>2.5998534798534831</v>
      </c>
      <c r="O13" s="2" t="s">
        <v>5</v>
      </c>
      <c r="P13" s="5">
        <f>(IF(E13&lt;0,0,IF(E13&gt;4.8,4095,ROUND((E13/Variables!F3),0))))</f>
        <v>2218</v>
      </c>
      <c r="Q13" s="2" t="s">
        <v>21</v>
      </c>
      <c r="R13" s="13">
        <f>_xlfn.BITAND(P13,255)</f>
        <v>170</v>
      </c>
      <c r="S13" s="13" t="str">
        <f>IF(R13&lt;16,CONCATENATE("0x0",(DEC2HEX(R13))),CONCATENATE("0x",(DEC2HEX(R13))))</f>
        <v>0xAA</v>
      </c>
      <c r="T13" s="5" t="str">
        <f>DEC2BIN(R13,8)</f>
        <v>10101010</v>
      </c>
      <c r="V13" t="str">
        <f t="shared" si="0"/>
        <v>0xAA,</v>
      </c>
    </row>
    <row r="14" spans="1:22" x14ac:dyDescent="0.25">
      <c r="E14" s="74" t="s">
        <v>23</v>
      </c>
      <c r="F14" s="74"/>
      <c r="G14" s="74"/>
      <c r="H14" s="74"/>
      <c r="I14" s="74"/>
      <c r="J14" s="74"/>
      <c r="K14" s="74"/>
      <c r="L14" s="74"/>
      <c r="M14" s="1"/>
      <c r="N14" s="15"/>
      <c r="P14" s="14"/>
      <c r="Q14" s="2"/>
      <c r="R14" s="2"/>
      <c r="S14" s="2"/>
      <c r="T14" s="1"/>
      <c r="V14" t="str">
        <f t="shared" si="0"/>
        <v/>
      </c>
    </row>
    <row r="15" spans="1:22" x14ac:dyDescent="0.25">
      <c r="E15" s="72">
        <v>15</v>
      </c>
      <c r="F15" s="72"/>
      <c r="G15" s="72"/>
      <c r="H15" s="72"/>
      <c r="I15" s="72"/>
      <c r="J15" s="72"/>
      <c r="K15" s="72"/>
      <c r="L15" s="72"/>
      <c r="M15" s="2" t="s">
        <v>4</v>
      </c>
      <c r="N15" s="5">
        <f>(IF(E15&lt;0,0,IF(E15&gt;15,15,ROUND(E15,0))))</f>
        <v>15</v>
      </c>
      <c r="O15" s="2" t="s">
        <v>4</v>
      </c>
      <c r="P15" s="5">
        <f>N15</f>
        <v>15</v>
      </c>
      <c r="Q15" s="2" t="s">
        <v>22</v>
      </c>
      <c r="R15" s="13">
        <f>(P15*2^4)+((_xlfn.BITAND(P13,3840))/(2^8))</f>
        <v>248</v>
      </c>
      <c r="S15" s="13" t="str">
        <f>IF(R15&lt;16,CONCATENATE("0x0",(DEC2HEX(R15))),CONCATENATE("0x",(DEC2HEX(R15))))</f>
        <v>0xF8</v>
      </c>
      <c r="T15" s="5" t="str">
        <f>DEC2BIN(R15,8)</f>
        <v>11111000</v>
      </c>
      <c r="V15" t="str">
        <f t="shared" si="0"/>
        <v>0xF8,</v>
      </c>
    </row>
    <row r="16" spans="1:22" x14ac:dyDescent="0.25">
      <c r="E16" s="74" t="s">
        <v>24</v>
      </c>
      <c r="F16" s="74"/>
      <c r="G16" s="74"/>
      <c r="H16" s="74"/>
      <c r="I16" s="74"/>
      <c r="J16" s="74"/>
      <c r="K16" s="74"/>
      <c r="L16" s="74"/>
      <c r="M16" s="2"/>
      <c r="P16" s="14"/>
      <c r="Q16" s="3"/>
      <c r="R16" s="2"/>
      <c r="S16" s="2"/>
      <c r="T16" s="1"/>
      <c r="V16" t="str">
        <f t="shared" si="0"/>
        <v/>
      </c>
    </row>
    <row r="17" spans="5:22" x14ac:dyDescent="0.25">
      <c r="E17" s="75">
        <v>2.8</v>
      </c>
      <c r="F17" s="75"/>
      <c r="G17" s="75"/>
      <c r="H17" s="75"/>
      <c r="I17" s="75"/>
      <c r="J17" s="75"/>
      <c r="K17" s="75"/>
      <c r="L17" s="75"/>
      <c r="M17" s="73" t="s">
        <v>5</v>
      </c>
      <c r="N17" s="76">
        <f>(P17*Variables!C1/Variables!C3)*Variables!C2</f>
        <v>2.8002930402930435</v>
      </c>
      <c r="O17" s="73" t="s">
        <v>5</v>
      </c>
      <c r="P17" s="76">
        <f>(IF(E17&lt;0,0,IF(E17&gt;4.8,4095,ROUND((E17/Variables!F3),0))))</f>
        <v>2389</v>
      </c>
      <c r="Q17" s="2" t="s">
        <v>25</v>
      </c>
      <c r="R17" s="13">
        <f>_xlfn.BITAND(P17,255)</f>
        <v>85</v>
      </c>
      <c r="S17" s="13" t="str">
        <f>IF(R17&lt;16,CONCATENATE("0x0",(DEC2HEX(R17))),CONCATENATE("0x",(DEC2HEX(R17))))</f>
        <v>0x55</v>
      </c>
      <c r="T17" s="5" t="str">
        <f>DEC2BIN(R17,8)</f>
        <v>01010101</v>
      </c>
      <c r="V17" t="str">
        <f t="shared" si="0"/>
        <v>0x55,</v>
      </c>
    </row>
    <row r="18" spans="5:22" x14ac:dyDescent="0.25">
      <c r="E18" s="75"/>
      <c r="F18" s="75"/>
      <c r="G18" s="75"/>
      <c r="H18" s="75"/>
      <c r="I18" s="75"/>
      <c r="J18" s="75"/>
      <c r="K18" s="75"/>
      <c r="L18" s="75"/>
      <c r="M18" s="73"/>
      <c r="N18" s="76"/>
      <c r="O18" s="73"/>
      <c r="P18" s="76"/>
      <c r="Q18" s="2"/>
      <c r="R18" s="2"/>
      <c r="S18" s="2"/>
      <c r="T18" s="1"/>
      <c r="V18" t="str">
        <f t="shared" si="0"/>
        <v/>
      </c>
    </row>
    <row r="19" spans="5:22" x14ac:dyDescent="0.25">
      <c r="E19" s="75"/>
      <c r="F19" s="75"/>
      <c r="G19" s="75"/>
      <c r="H19" s="75"/>
      <c r="I19" s="75"/>
      <c r="J19" s="75"/>
      <c r="K19" s="75"/>
      <c r="L19" s="75"/>
      <c r="M19" s="73"/>
      <c r="N19" s="76"/>
      <c r="O19" s="73"/>
      <c r="P19" s="76"/>
      <c r="Q19" s="2" t="s">
        <v>26</v>
      </c>
      <c r="R19" s="13">
        <f>((_xlfn.BITAND(P17,3840))/(2^8))</f>
        <v>9</v>
      </c>
      <c r="S19" s="13" t="str">
        <f>IF(R19&lt;16,CONCATENATE("0x0",(DEC2HEX(R19))),CONCATENATE("0x",(DEC2HEX(R19))))</f>
        <v>0x09</v>
      </c>
      <c r="T19" s="5" t="str">
        <f>DEC2BIN(R19,8)</f>
        <v>00001001</v>
      </c>
      <c r="V19" t="str">
        <f t="shared" si="0"/>
        <v>0x09,</v>
      </c>
    </row>
    <row r="20" spans="5:22" x14ac:dyDescent="0.25">
      <c r="E20" s="57" t="s">
        <v>27</v>
      </c>
      <c r="F20" s="57"/>
      <c r="G20" s="57"/>
      <c r="H20" s="57"/>
      <c r="I20" s="57"/>
      <c r="J20" s="57"/>
      <c r="K20" s="57"/>
      <c r="L20" s="57"/>
      <c r="M20" s="1"/>
      <c r="P20" s="1"/>
      <c r="Q20" s="3"/>
      <c r="R20" s="2"/>
      <c r="S20" s="2"/>
      <c r="T20" s="1"/>
      <c r="V20" t="str">
        <f t="shared" si="0"/>
        <v/>
      </c>
    </row>
    <row r="21" spans="5:22" x14ac:dyDescent="0.25">
      <c r="E21" s="75">
        <v>4.3</v>
      </c>
      <c r="F21" s="75"/>
      <c r="G21" s="75"/>
      <c r="H21" s="75"/>
      <c r="I21" s="75"/>
      <c r="J21" s="75"/>
      <c r="K21" s="75"/>
      <c r="L21" s="75"/>
      <c r="M21" s="73" t="s">
        <v>5</v>
      </c>
      <c r="N21" s="79">
        <f>(P21*Variables!C1/Variables!C3)*Variables!C2</f>
        <v>4.2994871794871852</v>
      </c>
      <c r="O21" s="73" t="s">
        <v>5</v>
      </c>
      <c r="P21" s="76">
        <f>(IF(E21&lt;0,0,IF(E21&gt;4.8,4095,ROUND((E21/Variables!F3),0))))</f>
        <v>3668</v>
      </c>
      <c r="Q21" s="2" t="s">
        <v>28</v>
      </c>
      <c r="R21" s="13">
        <f>_xlfn.BITAND(P21,255)</f>
        <v>84</v>
      </c>
      <c r="S21" s="13" t="str">
        <f>IF(R21&lt;16,CONCATENATE("0x0",(DEC2HEX(R21))),CONCATENATE("0x",(DEC2HEX(R21))))</f>
        <v>0x54</v>
      </c>
      <c r="T21" s="5" t="str">
        <f>DEC2BIN(R21,8)</f>
        <v>01010100</v>
      </c>
      <c r="V21" t="str">
        <f t="shared" si="0"/>
        <v>0x54,</v>
      </c>
    </row>
    <row r="22" spans="5:22" x14ac:dyDescent="0.25">
      <c r="E22" s="75"/>
      <c r="F22" s="75"/>
      <c r="G22" s="75"/>
      <c r="H22" s="75"/>
      <c r="I22" s="75"/>
      <c r="J22" s="75"/>
      <c r="K22" s="75"/>
      <c r="L22" s="75"/>
      <c r="M22" s="73"/>
      <c r="N22" s="82"/>
      <c r="O22" s="73"/>
      <c r="P22" s="76"/>
      <c r="Q22" s="2"/>
      <c r="R22" s="2"/>
      <c r="S22" s="2"/>
      <c r="T22" s="1"/>
      <c r="V22" t="str">
        <f t="shared" si="0"/>
        <v/>
      </c>
    </row>
    <row r="23" spans="5:22" x14ac:dyDescent="0.25">
      <c r="E23" s="75"/>
      <c r="F23" s="75"/>
      <c r="G23" s="75"/>
      <c r="H23" s="75"/>
      <c r="I23" s="75"/>
      <c r="J23" s="75"/>
      <c r="K23" s="75"/>
      <c r="L23" s="75"/>
      <c r="M23" s="73"/>
      <c r="N23" s="80"/>
      <c r="O23" s="73"/>
      <c r="P23" s="76"/>
      <c r="Q23" s="2" t="s">
        <v>29</v>
      </c>
      <c r="R23" s="13">
        <f>((_xlfn.BITAND(P21,3840))/(2^8))</f>
        <v>14</v>
      </c>
      <c r="S23" s="13" t="str">
        <f>IF(R23&lt;16,CONCATENATE("0x0",(DEC2HEX(R23))),CONCATENATE("0x",(DEC2HEX(R23))))</f>
        <v>0x0E</v>
      </c>
      <c r="T23" s="5" t="str">
        <f>DEC2BIN(R23,8)</f>
        <v>00001110</v>
      </c>
      <c r="V23" t="str">
        <f t="shared" si="0"/>
        <v>0x0E,</v>
      </c>
    </row>
    <row r="24" spans="5:22" x14ac:dyDescent="0.25">
      <c r="E24" s="57" t="s">
        <v>31</v>
      </c>
      <c r="F24" s="57"/>
      <c r="G24" s="57"/>
      <c r="H24" s="57"/>
      <c r="I24" s="57"/>
      <c r="J24" s="57"/>
      <c r="K24" s="57"/>
      <c r="L24" s="57"/>
      <c r="M24" s="1"/>
      <c r="P24" s="1"/>
      <c r="Q24" s="2"/>
      <c r="R24" s="2"/>
      <c r="S24" s="2"/>
      <c r="T24" s="1"/>
      <c r="V24" t="str">
        <f t="shared" si="0"/>
        <v/>
      </c>
    </row>
    <row r="25" spans="5:22" x14ac:dyDescent="0.25">
      <c r="E25" s="75">
        <v>2.5</v>
      </c>
      <c r="F25" s="75"/>
      <c r="G25" s="75"/>
      <c r="H25" s="75"/>
      <c r="I25" s="75"/>
      <c r="J25" s="75"/>
      <c r="K25" s="75"/>
      <c r="L25" s="75"/>
      <c r="M25" s="73" t="s">
        <v>5</v>
      </c>
      <c r="N25" s="76">
        <f>(P25*Variables!C1/Variables!C3)*Variables!C2</f>
        <v>2.5002197802197834</v>
      </c>
      <c r="O25" s="65" t="s">
        <v>5</v>
      </c>
      <c r="P25" s="76">
        <f>(IF(E25&lt;0,0,IF(E25&gt;4.8,4095,ROUND((E25/Variables!F3),0))))</f>
        <v>2133</v>
      </c>
      <c r="Q25" s="2" t="s">
        <v>32</v>
      </c>
      <c r="R25" s="13">
        <f>_xlfn.BITAND(P25,255)</f>
        <v>85</v>
      </c>
      <c r="S25" s="13" t="str">
        <f>IF(R25&lt;16,CONCATENATE("0x0",(DEC2HEX(R25))),CONCATENATE("0x",(DEC2HEX(R25))))</f>
        <v>0x55</v>
      </c>
      <c r="T25" s="5" t="str">
        <f>DEC2BIN(R25,8)</f>
        <v>01010101</v>
      </c>
      <c r="V25" t="str">
        <f t="shared" si="0"/>
        <v>0x55,</v>
      </c>
    </row>
    <row r="26" spans="5:22" x14ac:dyDescent="0.25">
      <c r="E26" s="75"/>
      <c r="F26" s="75"/>
      <c r="G26" s="75"/>
      <c r="H26" s="75"/>
      <c r="I26" s="75"/>
      <c r="J26" s="75"/>
      <c r="K26" s="75"/>
      <c r="L26" s="75"/>
      <c r="M26" s="73"/>
      <c r="N26" s="76"/>
      <c r="O26" s="81"/>
      <c r="P26" s="76"/>
      <c r="Q26" s="2"/>
      <c r="R26" s="2"/>
      <c r="S26" s="2"/>
      <c r="T26" s="1"/>
      <c r="V26" t="str">
        <f t="shared" si="0"/>
        <v/>
      </c>
    </row>
    <row r="27" spans="5:22" x14ac:dyDescent="0.25">
      <c r="E27" s="75"/>
      <c r="F27" s="75"/>
      <c r="G27" s="75"/>
      <c r="H27" s="75"/>
      <c r="I27" s="75"/>
      <c r="J27" s="75"/>
      <c r="K27" s="75"/>
      <c r="L27" s="75"/>
      <c r="M27" s="73"/>
      <c r="N27" s="76"/>
      <c r="O27" s="66"/>
      <c r="P27" s="76"/>
      <c r="Q27" s="2" t="s">
        <v>33</v>
      </c>
      <c r="R27" s="13">
        <f>((_xlfn.BITAND(P25,3840))/(2^8))</f>
        <v>8</v>
      </c>
      <c r="S27" s="13" t="str">
        <f>IF(R27&lt;16,CONCATENATE("0x0",(DEC2HEX(R27))),CONCATENATE("0x",(DEC2HEX(R27))))</f>
        <v>0x08</v>
      </c>
      <c r="T27" s="5" t="str">
        <f>DEC2BIN(R27,8)</f>
        <v>00001000</v>
      </c>
      <c r="V27" t="str">
        <f t="shared" si="0"/>
        <v>0x08,</v>
      </c>
    </row>
    <row r="28" spans="5:22" x14ac:dyDescent="0.25">
      <c r="E28" s="57" t="s">
        <v>34</v>
      </c>
      <c r="F28" s="57"/>
      <c r="G28" s="57"/>
      <c r="H28" s="57"/>
      <c r="I28" s="57"/>
      <c r="J28" s="57"/>
      <c r="K28" s="57"/>
      <c r="L28" s="57"/>
      <c r="M28" s="1"/>
      <c r="P28" s="1"/>
      <c r="Q28" s="2"/>
      <c r="R28" s="2"/>
      <c r="S28" s="2"/>
      <c r="T28" s="1"/>
      <c r="V28" t="str">
        <f t="shared" si="0"/>
        <v/>
      </c>
    </row>
    <row r="29" spans="5:22" x14ac:dyDescent="0.25">
      <c r="E29" s="59">
        <v>4.18</v>
      </c>
      <c r="F29" s="60"/>
      <c r="G29" s="60"/>
      <c r="H29" s="60"/>
      <c r="I29" s="60"/>
      <c r="J29" s="60"/>
      <c r="K29" s="60"/>
      <c r="L29" s="61"/>
      <c r="M29" s="65" t="s">
        <v>5</v>
      </c>
      <c r="N29" s="76">
        <f>(P29*Variables!C1/Variables!C3)*Variables!C2</f>
        <v>4.1799267399267448</v>
      </c>
      <c r="O29" s="73" t="s">
        <v>5</v>
      </c>
      <c r="P29" s="76">
        <f>(IF(E29&lt;0,0,IF(E29&gt;4.8,4095,ROUND((E29/Variables!F3),0))))</f>
        <v>3566</v>
      </c>
      <c r="Q29" s="2" t="s">
        <v>35</v>
      </c>
      <c r="R29" s="13">
        <f>_xlfn.BITAND(P29,255)</f>
        <v>238</v>
      </c>
      <c r="S29" s="13" t="str">
        <f>IF(R29&lt;16,CONCATENATE("0x0",(DEC2HEX(R29))),CONCATENATE("0x",(DEC2HEX(R29))))</f>
        <v>0xEE</v>
      </c>
      <c r="T29" s="5" t="str">
        <f>DEC2BIN(R29,8)</f>
        <v>11101110</v>
      </c>
      <c r="V29" t="str">
        <f t="shared" si="0"/>
        <v>0xEE,</v>
      </c>
    </row>
    <row r="30" spans="5:22" x14ac:dyDescent="0.25">
      <c r="E30" s="83"/>
      <c r="F30" s="84"/>
      <c r="G30" s="84"/>
      <c r="H30" s="84"/>
      <c r="I30" s="84"/>
      <c r="J30" s="84"/>
      <c r="K30" s="84"/>
      <c r="L30" s="85"/>
      <c r="M30" s="81"/>
      <c r="N30" s="76"/>
      <c r="O30" s="73"/>
      <c r="P30" s="76"/>
      <c r="Q30" s="2"/>
      <c r="R30" s="2"/>
      <c r="S30" s="2"/>
      <c r="T30" s="1"/>
      <c r="V30" t="str">
        <f t="shared" si="0"/>
        <v/>
      </c>
    </row>
    <row r="31" spans="5:22" x14ac:dyDescent="0.25">
      <c r="E31" s="62"/>
      <c r="F31" s="63"/>
      <c r="G31" s="63"/>
      <c r="H31" s="63"/>
      <c r="I31" s="63"/>
      <c r="J31" s="63"/>
      <c r="K31" s="63"/>
      <c r="L31" s="64"/>
      <c r="M31" s="66"/>
      <c r="N31" s="76"/>
      <c r="O31" s="73"/>
      <c r="P31" s="76"/>
      <c r="Q31" s="2" t="s">
        <v>38</v>
      </c>
      <c r="R31" s="13">
        <f>((_xlfn.BITAND(P29,3840))/(2^8))</f>
        <v>13</v>
      </c>
      <c r="S31" s="13" t="str">
        <f>IF(R31&lt;16,CONCATENATE("0x0",(DEC2HEX(R31))),CONCATENATE("0x",(DEC2HEX(R31))))</f>
        <v>0x0D</v>
      </c>
      <c r="T31" s="5" t="str">
        <f>DEC2BIN(R31,8)</f>
        <v>00001101</v>
      </c>
      <c r="V31" t="str">
        <f t="shared" si="0"/>
        <v>0x0D,</v>
      </c>
    </row>
    <row r="32" spans="5:22" x14ac:dyDescent="0.25">
      <c r="E32" s="57" t="s">
        <v>36</v>
      </c>
      <c r="F32" s="57"/>
      <c r="G32" s="57"/>
      <c r="H32" s="57"/>
      <c r="I32" s="57"/>
      <c r="J32" s="57"/>
      <c r="K32" s="57"/>
      <c r="L32" s="57"/>
      <c r="M32" s="1"/>
      <c r="P32" s="1"/>
      <c r="Q32" s="2"/>
      <c r="R32" s="2"/>
      <c r="S32" s="2"/>
      <c r="T32" s="1"/>
      <c r="V32" t="str">
        <f t="shared" si="0"/>
        <v/>
      </c>
    </row>
    <row r="33" spans="5:22" x14ac:dyDescent="0.25">
      <c r="E33" s="75">
        <v>2.7</v>
      </c>
      <c r="F33" s="75"/>
      <c r="G33" s="75"/>
      <c r="H33" s="75"/>
      <c r="I33" s="75"/>
      <c r="J33" s="75"/>
      <c r="K33" s="75"/>
      <c r="L33" s="75"/>
      <c r="M33" s="73" t="s">
        <v>5</v>
      </c>
      <c r="N33" s="76">
        <f>(P33*Variables!C1/Variables!C3)*Variables!C2</f>
        <v>2.6994871794871829</v>
      </c>
      <c r="O33" s="73" t="s">
        <v>5</v>
      </c>
      <c r="P33" s="76">
        <f>(IF(E33&lt;0,0,IF(E33&gt;4.8,4095,ROUND((E33/Variables!F3),0))))</f>
        <v>2303</v>
      </c>
      <c r="Q33" s="2" t="s">
        <v>37</v>
      </c>
      <c r="R33" s="13">
        <f>_xlfn.BITAND(P33,255)</f>
        <v>255</v>
      </c>
      <c r="S33" s="13" t="str">
        <f>IF(R33&lt;16,CONCATENATE("0x0",(DEC2HEX(R33))),CONCATENATE("0x",(DEC2HEX(R33))))</f>
        <v>0xFF</v>
      </c>
      <c r="T33" s="5" t="str">
        <f>DEC2BIN(R33,8)</f>
        <v>11111111</v>
      </c>
      <c r="V33" t="str">
        <f t="shared" si="0"/>
        <v>0xFF,</v>
      </c>
    </row>
    <row r="34" spans="5:22" x14ac:dyDescent="0.25">
      <c r="E34" s="75"/>
      <c r="F34" s="75"/>
      <c r="G34" s="75"/>
      <c r="H34" s="75"/>
      <c r="I34" s="75"/>
      <c r="J34" s="75"/>
      <c r="K34" s="75"/>
      <c r="L34" s="75"/>
      <c r="M34" s="73"/>
      <c r="N34" s="76"/>
      <c r="O34" s="73"/>
      <c r="P34" s="76"/>
      <c r="Q34" s="2"/>
      <c r="R34" s="2"/>
      <c r="S34" s="2"/>
      <c r="T34" s="1"/>
      <c r="V34" t="str">
        <f t="shared" si="0"/>
        <v/>
      </c>
    </row>
    <row r="35" spans="5:22" x14ac:dyDescent="0.25">
      <c r="E35" s="75"/>
      <c r="F35" s="75"/>
      <c r="G35" s="75"/>
      <c r="H35" s="75"/>
      <c r="I35" s="75"/>
      <c r="J35" s="75"/>
      <c r="K35" s="75"/>
      <c r="L35" s="75"/>
      <c r="M35" s="73"/>
      <c r="N35" s="76"/>
      <c r="O35" s="73"/>
      <c r="P35" s="76"/>
      <c r="Q35" s="2" t="s">
        <v>39</v>
      </c>
      <c r="R35" s="13">
        <f>((_xlfn.BITAND(P33,3840))/(2^8))</f>
        <v>8</v>
      </c>
      <c r="S35" s="13" t="str">
        <f>IF(R35&lt;16,CONCATENATE("0x0",(DEC2HEX(R35))),CONCATENATE("0x",(DEC2HEX(R35))))</f>
        <v>0x08</v>
      </c>
      <c r="T35" s="5" t="str">
        <f>DEC2BIN(R35,8)</f>
        <v>00001000</v>
      </c>
      <c r="V35" t="str">
        <f t="shared" si="0"/>
        <v>0x08,</v>
      </c>
    </row>
    <row r="36" spans="5:22" x14ac:dyDescent="0.25">
      <c r="E36" s="57" t="s">
        <v>42</v>
      </c>
      <c r="F36" s="57"/>
      <c r="G36" s="57"/>
      <c r="H36" s="57"/>
      <c r="I36" s="57"/>
      <c r="J36" s="57"/>
      <c r="K36" s="57"/>
      <c r="L36" s="57"/>
      <c r="M36" s="1"/>
      <c r="P36" s="1"/>
      <c r="Q36" s="2"/>
      <c r="R36" s="2"/>
      <c r="S36" s="2"/>
      <c r="T36" s="1"/>
      <c r="V36" t="str">
        <f t="shared" si="0"/>
        <v/>
      </c>
    </row>
    <row r="37" spans="5:22" x14ac:dyDescent="0.25">
      <c r="E37" s="54">
        <v>1</v>
      </c>
      <c r="F37" s="55"/>
      <c r="G37" s="55"/>
      <c r="H37" s="55"/>
      <c r="I37" s="55"/>
      <c r="J37" s="55"/>
      <c r="K37" s="55"/>
      <c r="L37" s="56"/>
      <c r="M37" s="16"/>
      <c r="N37" s="22">
        <f>IF(E37&lt;0,"0",IF(E37&gt;1024,"1024",ROUND(E37,0)))</f>
        <v>1</v>
      </c>
      <c r="O37" s="22" t="str">
        <f>N40</f>
        <v>s</v>
      </c>
      <c r="P37" s="23">
        <f>N37</f>
        <v>1</v>
      </c>
      <c r="Q37" s="2" t="s">
        <v>41</v>
      </c>
      <c r="R37" s="13">
        <f>_xlfn.BITAND(P37,255)</f>
        <v>1</v>
      </c>
      <c r="S37" s="13" t="str">
        <f>IF(R37&lt;16,CONCATENATE("0x0",(DEC2HEX(R37))),CONCATENATE("0x",(DEC2HEX(R37))))</f>
        <v>0x01</v>
      </c>
      <c r="T37" s="5" t="str">
        <f>DEC2BIN(R37,8)</f>
        <v>00000001</v>
      </c>
      <c r="V37" t="str">
        <f t="shared" si="0"/>
        <v>0x01,</v>
      </c>
    </row>
    <row r="38" spans="5:22" x14ac:dyDescent="0.25">
      <c r="E38" s="89" t="s">
        <v>40</v>
      </c>
      <c r="F38" s="90"/>
      <c r="G38" s="90"/>
      <c r="H38" s="90"/>
      <c r="I38" s="90"/>
      <c r="J38" s="90"/>
      <c r="K38" s="90"/>
      <c r="L38" s="91"/>
      <c r="M38" s="11"/>
      <c r="P38" s="11"/>
      <c r="Q38" s="24"/>
      <c r="R38" s="24"/>
      <c r="S38" s="24"/>
      <c r="T38" s="1"/>
      <c r="V38" t="str">
        <f t="shared" si="0"/>
        <v/>
      </c>
    </row>
    <row r="39" spans="5:22" x14ac:dyDescent="0.25">
      <c r="E39" s="86" t="s">
        <v>45</v>
      </c>
      <c r="F39" s="87"/>
      <c r="G39" s="87"/>
      <c r="H39" s="88"/>
      <c r="I39" s="86" t="s">
        <v>46</v>
      </c>
      <c r="J39" s="87"/>
      <c r="K39" s="87"/>
      <c r="L39" s="88"/>
      <c r="M39" s="1"/>
      <c r="P39" s="1"/>
      <c r="Q39" s="2" t="s">
        <v>43</v>
      </c>
      <c r="R39" s="13">
        <f>(P40*4)+((_xlfn.BITAND(P37,768)/2^8))</f>
        <v>8</v>
      </c>
      <c r="S39" s="13" t="str">
        <f>IF(R39&lt;16,CONCATENATE("0x0",(DEC2HEX(R39))),CONCATENATE("0x",(DEC2HEX(R39))))</f>
        <v>0x08</v>
      </c>
      <c r="T39" s="5" t="str">
        <f>DEC2BIN(R39,8)</f>
        <v>00001000</v>
      </c>
      <c r="V39" t="str">
        <f t="shared" si="0"/>
        <v>0x08,</v>
      </c>
    </row>
    <row r="40" spans="5:22" x14ac:dyDescent="0.25">
      <c r="E40" s="54">
        <v>1</v>
      </c>
      <c r="F40" s="55"/>
      <c r="G40" s="55"/>
      <c r="H40" s="56"/>
      <c r="I40" s="72">
        <v>0</v>
      </c>
      <c r="J40" s="72"/>
      <c r="K40" s="72"/>
      <c r="L40" s="72"/>
      <c r="M40" s="21"/>
      <c r="N40" s="13" t="str">
        <f>IF(((E40*2 +I40) = 3),"min",IF((E40*2+I40 = 2), "s",IF((E40*2+I40=1),"ms","us")))</f>
        <v>s</v>
      </c>
      <c r="O40" s="16"/>
      <c r="P40" s="22">
        <f>IF(N40="min",3,IF(N40="s",2,IF(N40="ms",1,0)))</f>
        <v>2</v>
      </c>
      <c r="Q40" s="2"/>
      <c r="R40" s="2"/>
      <c r="S40" s="2"/>
      <c r="T40" s="1"/>
      <c r="V40" t="str">
        <f t="shared" si="0"/>
        <v/>
      </c>
    </row>
    <row r="41" spans="5:22" x14ac:dyDescent="0.25">
      <c r="E41" s="57" t="s">
        <v>201</v>
      </c>
      <c r="F41" s="57"/>
      <c r="G41" s="57"/>
      <c r="H41" s="57"/>
      <c r="I41" s="57"/>
      <c r="J41" s="57"/>
      <c r="K41" s="57"/>
      <c r="L41" s="57"/>
      <c r="M41" s="11"/>
      <c r="P41" s="11"/>
      <c r="Q41" s="24" t="s">
        <v>44</v>
      </c>
      <c r="R41" s="13">
        <f>_xlfn.BITAND(P42,255)</f>
        <v>1</v>
      </c>
      <c r="S41" s="13" t="str">
        <f>IF(R41&lt;16,CONCATENATE("0x0",(DEC2HEX(R41))),CONCATENATE("0x",(DEC2HEX(R41))))</f>
        <v>0x01</v>
      </c>
      <c r="T41" s="5" t="str">
        <f>DEC2BIN(R41,8)</f>
        <v>00000001</v>
      </c>
      <c r="V41" t="str">
        <f t="shared" si="0"/>
        <v>0x01,</v>
      </c>
    </row>
    <row r="42" spans="5:22" x14ac:dyDescent="0.25">
      <c r="E42" s="72">
        <v>1</v>
      </c>
      <c r="F42" s="72"/>
      <c r="G42" s="72"/>
      <c r="H42" s="72"/>
      <c r="I42" s="72"/>
      <c r="J42" s="72"/>
      <c r="K42" s="72"/>
      <c r="L42" s="72"/>
      <c r="M42" s="16"/>
      <c r="N42" s="22">
        <f>IF(E42&lt;0,"0",IF(E42&gt;1024,"1024",ROUND(E42,0)))</f>
        <v>1</v>
      </c>
      <c r="O42" s="16"/>
      <c r="P42" s="22">
        <f>N42</f>
        <v>1</v>
      </c>
      <c r="Q42" s="2"/>
      <c r="R42" s="2"/>
      <c r="S42" s="2"/>
      <c r="T42" s="1"/>
      <c r="V42" t="str">
        <f t="shared" si="0"/>
        <v/>
      </c>
    </row>
    <row r="43" spans="5:22" x14ac:dyDescent="0.25">
      <c r="E43" s="57" t="s">
        <v>180</v>
      </c>
      <c r="F43" s="57"/>
      <c r="G43" s="57"/>
      <c r="H43" s="57"/>
      <c r="I43" s="57"/>
      <c r="J43" s="57"/>
      <c r="K43" s="57"/>
      <c r="L43" s="57"/>
      <c r="M43" s="11"/>
      <c r="P43" s="11"/>
      <c r="Q43" s="2" t="s">
        <v>47</v>
      </c>
      <c r="R43" s="13">
        <f>(P45*4)+((_xlfn.BITAND(P42,768)/2^8))</f>
        <v>8</v>
      </c>
      <c r="S43" s="13" t="str">
        <f>IF(R43&lt;16,CONCATENATE("0x0",(DEC2HEX(R43))),CONCATENATE("0x",(DEC2HEX(R43))))</f>
        <v>0x08</v>
      </c>
      <c r="T43" s="5" t="str">
        <f>DEC2BIN(R43,8)</f>
        <v>00001000</v>
      </c>
      <c r="V43" t="str">
        <f t="shared" si="0"/>
        <v>0x08,</v>
      </c>
    </row>
    <row r="44" spans="5:22" x14ac:dyDescent="0.25">
      <c r="E44" s="86" t="s">
        <v>82</v>
      </c>
      <c r="F44" s="87"/>
      <c r="G44" s="87"/>
      <c r="H44" s="88"/>
      <c r="I44" s="86" t="s">
        <v>179</v>
      </c>
      <c r="J44" s="87"/>
      <c r="K44" s="87"/>
      <c r="L44" s="88"/>
      <c r="M44" s="11"/>
      <c r="P44" s="11"/>
      <c r="Q44" s="2"/>
      <c r="R44" s="2"/>
      <c r="S44" s="2"/>
      <c r="T44" s="1"/>
      <c r="V44" t="str">
        <f t="shared" si="0"/>
        <v/>
      </c>
    </row>
    <row r="45" spans="5:22" x14ac:dyDescent="0.25">
      <c r="E45" s="75">
        <v>1</v>
      </c>
      <c r="F45" s="75"/>
      <c r="G45" s="75"/>
      <c r="H45" s="75"/>
      <c r="I45" s="75">
        <v>0</v>
      </c>
      <c r="J45" s="75"/>
      <c r="K45" s="75"/>
      <c r="L45" s="75"/>
      <c r="M45" s="16"/>
      <c r="N45" s="22" t="str">
        <f>IF(((E45*2 +I45) = 3),"min",IF((E45*2+I45 = 2), "s",IF((E45*2+I45=1),"ms","us")))</f>
        <v>s</v>
      </c>
      <c r="O45" s="16"/>
      <c r="P45" s="22">
        <f>IF(N45="min",3,IF(N45="s",2,IF(N45="ms",1,0)))</f>
        <v>2</v>
      </c>
      <c r="Q45" s="16"/>
      <c r="R45" s="16"/>
      <c r="S45" s="16"/>
      <c r="T45" s="1"/>
      <c r="V45" t="str">
        <f t="shared" si="0"/>
        <v/>
      </c>
    </row>
    <row r="46" spans="5:22" x14ac:dyDescent="0.25">
      <c r="E46" s="57" t="s">
        <v>49</v>
      </c>
      <c r="F46" s="57"/>
      <c r="G46" s="57"/>
      <c r="H46" s="57"/>
      <c r="I46" s="57"/>
      <c r="J46" s="57"/>
      <c r="K46" s="57"/>
      <c r="L46" s="57"/>
      <c r="M46" s="11"/>
      <c r="P46" s="11"/>
      <c r="Q46" s="24" t="s">
        <v>48</v>
      </c>
      <c r="R46" s="26">
        <f>_xlfn.BITAND(P47,255)</f>
        <v>100</v>
      </c>
      <c r="S46" s="26" t="str">
        <f>IF(R46&lt;16,CONCATENATE("0x0",(DEC2HEX(R46))),CONCATENATE("0x",(DEC2HEX(R46))))</f>
        <v>0x64</v>
      </c>
      <c r="T46" s="5" t="str">
        <f>DEC2BIN(R46,8)</f>
        <v>01100100</v>
      </c>
      <c r="V46" t="str">
        <f t="shared" si="0"/>
        <v>0x64,</v>
      </c>
    </row>
    <row r="47" spans="5:22" x14ac:dyDescent="0.25">
      <c r="E47" s="97">
        <v>100</v>
      </c>
      <c r="F47" s="97"/>
      <c r="G47" s="97"/>
      <c r="H47" s="97"/>
      <c r="I47" s="97"/>
      <c r="J47" s="97"/>
      <c r="K47" s="97"/>
      <c r="L47" s="97"/>
      <c r="M47" s="16"/>
      <c r="N47" s="22">
        <f>IF(E47&lt;0, "0", IF(E47 &gt; 511, "511",ROUND(E47,0)))</f>
        <v>100</v>
      </c>
      <c r="O47" s="22" t="str">
        <f>N49</f>
        <v>ms</v>
      </c>
      <c r="P47" s="22">
        <f>N47</f>
        <v>100</v>
      </c>
      <c r="Q47" s="2"/>
      <c r="R47" s="2"/>
      <c r="S47" s="2"/>
      <c r="T47" s="1"/>
      <c r="V47" t="str">
        <f t="shared" si="0"/>
        <v/>
      </c>
    </row>
    <row r="48" spans="5:22" x14ac:dyDescent="0.25">
      <c r="E48" s="98" t="s">
        <v>50</v>
      </c>
      <c r="F48" s="98"/>
      <c r="G48" s="98"/>
      <c r="H48" s="98"/>
      <c r="I48" s="98"/>
      <c r="J48" s="98"/>
      <c r="K48" s="98"/>
      <c r="L48" s="98"/>
      <c r="M48" s="11"/>
      <c r="P48" s="11"/>
      <c r="Q48" s="2" t="s">
        <v>51</v>
      </c>
      <c r="R48" s="13">
        <f>(P49*2)+((_xlfn.BITAND(P47,256)/2^8))</f>
        <v>2</v>
      </c>
      <c r="S48" s="13" t="str">
        <f>IF(R48&lt;16,CONCATENATE("0x0",(DEC2HEX(R48))),CONCATENATE("0x",(DEC2HEX(R48))))</f>
        <v>0x02</v>
      </c>
      <c r="T48" s="5" t="str">
        <f>DEC2BIN(R48,8)</f>
        <v>00000010</v>
      </c>
      <c r="V48" t="str">
        <f t="shared" si="0"/>
        <v>0x02,</v>
      </c>
    </row>
    <row r="49" spans="5:22" x14ac:dyDescent="0.25">
      <c r="E49" s="72">
        <v>1</v>
      </c>
      <c r="F49" s="72"/>
      <c r="G49" s="72"/>
      <c r="H49" s="72"/>
      <c r="I49" s="72"/>
      <c r="J49" s="72"/>
      <c r="K49" s="72"/>
      <c r="L49" s="72"/>
      <c r="M49" s="20"/>
      <c r="N49" s="13" t="str">
        <f>IF((E49=1),"ms","us")</f>
        <v>ms</v>
      </c>
      <c r="O49" s="2"/>
      <c r="P49" s="13">
        <f>IF(N49="ms",1,0)</f>
        <v>1</v>
      </c>
      <c r="Q49" s="2"/>
      <c r="R49" s="2"/>
      <c r="S49" s="2"/>
      <c r="T49" s="1"/>
      <c r="V49" t="str">
        <f t="shared" si="0"/>
        <v/>
      </c>
    </row>
    <row r="50" spans="5:22" x14ac:dyDescent="0.25">
      <c r="E50" s="99" t="s">
        <v>52</v>
      </c>
      <c r="F50" s="99"/>
      <c r="G50" s="99"/>
      <c r="H50" s="99"/>
      <c r="I50" s="99"/>
      <c r="J50" s="99"/>
      <c r="K50" s="99"/>
      <c r="L50" s="99"/>
      <c r="P50" s="1"/>
      <c r="Q50" s="1"/>
      <c r="R50" s="1"/>
      <c r="S50" s="1"/>
      <c r="T50" s="1"/>
      <c r="V50" t="str">
        <f t="shared" si="0"/>
        <v/>
      </c>
    </row>
    <row r="51" spans="5:22" x14ac:dyDescent="0.25">
      <c r="E51" s="100">
        <v>5</v>
      </c>
      <c r="F51" s="100"/>
      <c r="G51" s="100"/>
      <c r="H51" s="100"/>
      <c r="I51" s="100"/>
      <c r="J51" s="100"/>
      <c r="K51" s="100"/>
      <c r="L51" s="100"/>
      <c r="M51" s="16"/>
      <c r="N51" s="22">
        <f>IF(E51&lt;0, "0", IF(E51 &gt; 1024, "1024",ROUND(E51,0)))</f>
        <v>5</v>
      </c>
      <c r="O51" s="22" t="str">
        <f>N53</f>
        <v>s</v>
      </c>
      <c r="P51" s="23">
        <f>N51</f>
        <v>5</v>
      </c>
      <c r="Q51" s="2" t="s">
        <v>53</v>
      </c>
      <c r="R51" s="13">
        <f>_xlfn.BITAND(P51,255)</f>
        <v>5</v>
      </c>
      <c r="S51" s="13" t="str">
        <f>IF(R51&lt;16,CONCATENATE("0x0",(DEC2HEX(R51))),CONCATENATE("0x",(DEC2HEX(R51))))</f>
        <v>0x05</v>
      </c>
      <c r="T51" s="5" t="str">
        <f>DEC2BIN(R51,8)</f>
        <v>00000101</v>
      </c>
      <c r="V51" t="str">
        <f t="shared" si="0"/>
        <v>0x05,</v>
      </c>
    </row>
    <row r="52" spans="5:22" x14ac:dyDescent="0.25">
      <c r="E52" s="57" t="s">
        <v>54</v>
      </c>
      <c r="F52" s="57"/>
      <c r="G52" s="57"/>
      <c r="H52" s="57"/>
      <c r="I52" s="57"/>
      <c r="J52" s="57"/>
      <c r="K52" s="57"/>
      <c r="L52" s="57"/>
      <c r="M52" s="1"/>
      <c r="P52" s="1"/>
      <c r="Q52" s="2"/>
      <c r="R52" s="2"/>
      <c r="S52" s="2"/>
      <c r="T52" s="1"/>
      <c r="V52" t="str">
        <f t="shared" si="0"/>
        <v/>
      </c>
    </row>
    <row r="53" spans="5:22" x14ac:dyDescent="0.25">
      <c r="E53" s="92" t="s">
        <v>55</v>
      </c>
      <c r="F53" s="93"/>
      <c r="G53" s="93"/>
      <c r="H53" s="57" t="s">
        <v>56</v>
      </c>
      <c r="I53" s="57"/>
      <c r="J53" s="57"/>
      <c r="K53" s="86" t="s">
        <v>10</v>
      </c>
      <c r="L53" s="88"/>
      <c r="M53" s="20" t="s">
        <v>10</v>
      </c>
      <c r="N53" s="13" t="str">
        <f>IF(((K54*2 +L54) = 3),"min",IF((K54*2+L54 = 2), "s",IF((K54*2+L54=1),"ms","us")))</f>
        <v>s</v>
      </c>
      <c r="O53" s="2"/>
      <c r="P53" s="1"/>
      <c r="Q53" s="2" t="s">
        <v>59</v>
      </c>
      <c r="R53" s="13">
        <f>(P54*4)+((_xlfn.BITAND(P51,768)/2^8))</f>
        <v>120</v>
      </c>
      <c r="S53" s="13" t="str">
        <f>IF(R53&lt;16,CONCATENATE("0x0",(DEC2HEX(R53))),CONCATENATE("0x",(DEC2HEX(R53))))</f>
        <v>0x78</v>
      </c>
      <c r="T53" s="5" t="str">
        <f>DEC2BIN(R53,8)</f>
        <v>01111000</v>
      </c>
      <c r="V53" t="str">
        <f t="shared" si="0"/>
        <v>0x78,</v>
      </c>
    </row>
    <row r="54" spans="5:22" x14ac:dyDescent="0.25">
      <c r="E54" s="94"/>
      <c r="F54" s="95"/>
      <c r="G54" s="96"/>
      <c r="H54" s="12">
        <v>1</v>
      </c>
      <c r="I54" s="12">
        <v>1</v>
      </c>
      <c r="J54" s="12">
        <v>1</v>
      </c>
      <c r="K54" s="12">
        <v>1</v>
      </c>
      <c r="L54" s="12">
        <v>0</v>
      </c>
      <c r="M54" s="20" t="s">
        <v>57</v>
      </c>
      <c r="N54" s="13">
        <f>IF(AND(H54 = 0,I54=0,J54=0), 4,IF(AND(H54 = 0,I54=0,J54=1),8,IF(AND(H54 = 0,I54=1,J54=0),16,IF(AND(H54 = 0,I54=1,J54=1),24,IF(AND(H54 = 1,I54=0,J54=0),32,IF(AND(H54 = 1,I54=0,J54=1),48,IF(AND(H54 = 1,I54=1,J54=0),64,IF(AND(H54 = 1,I54=1,J54=1),96,"false"))))))))</f>
        <v>96</v>
      </c>
      <c r="O54" s="2" t="s">
        <v>58</v>
      </c>
      <c r="P54" s="5">
        <f>BIN2DEC(CONCATENATE(H54,I54,J54,K54,L54))</f>
        <v>30</v>
      </c>
      <c r="Q54" s="2"/>
      <c r="R54" s="2"/>
      <c r="S54" s="2"/>
      <c r="T54" s="1"/>
      <c r="V54" t="str">
        <f t="shared" si="0"/>
        <v/>
      </c>
    </row>
    <row r="55" spans="5:22" x14ac:dyDescent="0.25">
      <c r="E55" s="57" t="s">
        <v>60</v>
      </c>
      <c r="F55" s="57"/>
      <c r="G55" s="57"/>
      <c r="H55" s="57"/>
      <c r="I55" s="57"/>
      <c r="J55" s="57"/>
      <c r="K55" s="57"/>
      <c r="L55" s="57"/>
      <c r="P55" s="1"/>
      <c r="Q55" s="1"/>
      <c r="R55" s="1"/>
      <c r="S55" s="1"/>
      <c r="T55" s="1"/>
      <c r="V55" t="str">
        <f t="shared" si="0"/>
        <v/>
      </c>
    </row>
    <row r="56" spans="5:22" x14ac:dyDescent="0.25">
      <c r="E56" s="72">
        <v>5</v>
      </c>
      <c r="F56" s="72"/>
      <c r="G56" s="72"/>
      <c r="H56" s="72"/>
      <c r="I56" s="72"/>
      <c r="J56" s="72"/>
      <c r="K56" s="72"/>
      <c r="L56" s="72"/>
      <c r="M56" s="16"/>
      <c r="N56" s="22">
        <f>IF(E56&lt;0, "0", IF(E56 &gt; 1024, "1024",ROUND(E56,0)))</f>
        <v>5</v>
      </c>
      <c r="O56" s="22" t="str">
        <f>N58</f>
        <v>s</v>
      </c>
      <c r="P56" s="23">
        <f>N56</f>
        <v>5</v>
      </c>
      <c r="Q56" s="2" t="s">
        <v>64</v>
      </c>
      <c r="R56" s="13">
        <f>_xlfn.BITAND(P56,255)</f>
        <v>5</v>
      </c>
      <c r="S56" s="13" t="str">
        <f>IF(R56&lt;16,CONCATENATE("0x0",(DEC2HEX(R56))),CONCATENATE("0x",(DEC2HEX(R56))))</f>
        <v>0x05</v>
      </c>
      <c r="T56" s="5" t="str">
        <f>DEC2BIN(R56,8)</f>
        <v>00000101</v>
      </c>
      <c r="V56" t="str">
        <f t="shared" si="0"/>
        <v>0x05,</v>
      </c>
    </row>
    <row r="57" spans="5:22" x14ac:dyDescent="0.25">
      <c r="E57" s="57" t="s">
        <v>61</v>
      </c>
      <c r="F57" s="57"/>
      <c r="G57" s="57"/>
      <c r="H57" s="57"/>
      <c r="I57" s="57"/>
      <c r="J57" s="57"/>
      <c r="K57" s="57"/>
      <c r="L57" s="57"/>
      <c r="M57" s="1"/>
      <c r="P57" s="1"/>
      <c r="Q57" s="2"/>
      <c r="R57" s="2"/>
      <c r="S57" s="2"/>
      <c r="T57" s="1"/>
      <c r="V57" t="str">
        <f t="shared" si="0"/>
        <v/>
      </c>
    </row>
    <row r="58" spans="5:22" x14ac:dyDescent="0.25">
      <c r="E58" s="92" t="s">
        <v>55</v>
      </c>
      <c r="F58" s="93"/>
      <c r="G58" s="93"/>
      <c r="H58" s="57" t="s">
        <v>56</v>
      </c>
      <c r="I58" s="57"/>
      <c r="J58" s="57"/>
      <c r="K58" s="86" t="s">
        <v>10</v>
      </c>
      <c r="L58" s="88"/>
      <c r="M58" s="20" t="s">
        <v>10</v>
      </c>
      <c r="N58" s="13" t="str">
        <f>IF(((K59*2 +L59) = 3),"min",IF((K59*2+L59 = 2), "s",IF((K59*2+L59=1),"ms","us")))</f>
        <v>s</v>
      </c>
      <c r="O58" s="2"/>
      <c r="P58" s="1"/>
      <c r="Q58" s="2" t="s">
        <v>65</v>
      </c>
      <c r="R58" s="13">
        <f>(P59*4)+((_xlfn.BITAND(P56,768)/2^8))</f>
        <v>120</v>
      </c>
      <c r="S58" s="13" t="str">
        <f>IF(R58&lt;16,CONCATENATE("0x0",(DEC2HEX(R58))),CONCATENATE("0x",(DEC2HEX(R58))))</f>
        <v>0x78</v>
      </c>
      <c r="T58" s="5" t="str">
        <f>DEC2BIN(R58,8)</f>
        <v>01111000</v>
      </c>
      <c r="V58" t="str">
        <f t="shared" si="0"/>
        <v>0x78,</v>
      </c>
    </row>
    <row r="59" spans="5:22" x14ac:dyDescent="0.25">
      <c r="E59" s="94"/>
      <c r="F59" s="95"/>
      <c r="G59" s="96"/>
      <c r="H59" s="12">
        <v>1</v>
      </c>
      <c r="I59" s="12">
        <v>1</v>
      </c>
      <c r="J59" s="12">
        <v>1</v>
      </c>
      <c r="K59" s="12">
        <v>1</v>
      </c>
      <c r="L59" s="12">
        <v>0</v>
      </c>
      <c r="M59" s="20" t="s">
        <v>57</v>
      </c>
      <c r="N59" s="13">
        <f>IF(AND(H59 = 0,I59=0,J59=0), 1,IF(AND(H59 = 0,I59=0,J59=1),2,IF(AND(H59 = 0,I59=1,J59=0),4,IF(AND(H59 = 0,I59=1,J59=1),6,IF(AND(H59 = 1,I59=0,J59=0),8,IF(AND(H59 = 1,I59=0,J59=1),12,IF(AND(H59 = 1,I59=1,J59=0),16,IF(AND(H59 = 1,I59=1,J59=1),24,"false"))))))))</f>
        <v>24</v>
      </c>
      <c r="O59" s="2" t="s">
        <v>58</v>
      </c>
      <c r="P59" s="5">
        <f>BIN2DEC(CONCATENATE(H59,I59,J59,K59,L59))</f>
        <v>30</v>
      </c>
      <c r="Q59" s="2"/>
      <c r="R59" s="2"/>
      <c r="S59" s="2"/>
      <c r="T59" s="1"/>
      <c r="V59" t="str">
        <f t="shared" si="0"/>
        <v/>
      </c>
    </row>
    <row r="60" spans="5:22" x14ac:dyDescent="0.25">
      <c r="E60" s="57" t="s">
        <v>62</v>
      </c>
      <c r="F60" s="57"/>
      <c r="G60" s="57"/>
      <c r="H60" s="57"/>
      <c r="I60" s="57"/>
      <c r="J60" s="57"/>
      <c r="K60" s="57"/>
      <c r="L60" s="57"/>
      <c r="P60" s="1"/>
      <c r="Q60" s="1"/>
      <c r="R60" s="1"/>
      <c r="S60" s="1"/>
      <c r="T60" s="1"/>
      <c r="V60" t="str">
        <f t="shared" si="0"/>
        <v/>
      </c>
    </row>
    <row r="61" spans="5:22" x14ac:dyDescent="0.25">
      <c r="E61" s="72">
        <v>5</v>
      </c>
      <c r="F61" s="72"/>
      <c r="G61" s="72"/>
      <c r="H61" s="72"/>
      <c r="I61" s="72"/>
      <c r="J61" s="72"/>
      <c r="K61" s="72"/>
      <c r="L61" s="72"/>
      <c r="M61" s="16"/>
      <c r="N61" s="22">
        <f>IF(E61&lt;0, "0", IF(E61 &gt; 1024, "1024",ROUND(E61,0)))</f>
        <v>5</v>
      </c>
      <c r="O61" s="22" t="str">
        <f>N63</f>
        <v>s</v>
      </c>
      <c r="P61" s="23">
        <f>N61</f>
        <v>5</v>
      </c>
      <c r="Q61" s="2" t="s">
        <v>66</v>
      </c>
      <c r="R61" s="13">
        <f>_xlfn.BITAND(P61,255)</f>
        <v>5</v>
      </c>
      <c r="S61" s="13" t="str">
        <f>IF(R61&lt;16,CONCATENATE("0x0",(DEC2HEX(R61))),CONCATENATE("0x",(DEC2HEX(R61))))</f>
        <v>0x05</v>
      </c>
      <c r="T61" s="5" t="str">
        <f>DEC2BIN(R61,8)</f>
        <v>00000101</v>
      </c>
      <c r="V61" t="str">
        <f t="shared" si="0"/>
        <v>0x05,</v>
      </c>
    </row>
    <row r="62" spans="5:22" x14ac:dyDescent="0.25">
      <c r="E62" s="57" t="s">
        <v>63</v>
      </c>
      <c r="F62" s="57"/>
      <c r="G62" s="57"/>
      <c r="H62" s="57"/>
      <c r="I62" s="57"/>
      <c r="J62" s="57"/>
      <c r="K62" s="57"/>
      <c r="L62" s="57"/>
      <c r="M62" s="1"/>
      <c r="P62" s="1"/>
      <c r="Q62" s="2"/>
      <c r="R62" s="2"/>
      <c r="S62" s="2"/>
      <c r="T62" s="1"/>
      <c r="V62" t="str">
        <f t="shared" si="0"/>
        <v/>
      </c>
    </row>
    <row r="63" spans="5:22" x14ac:dyDescent="0.25">
      <c r="E63" s="92" t="s">
        <v>55</v>
      </c>
      <c r="F63" s="93"/>
      <c r="G63" s="93"/>
      <c r="H63" s="57" t="s">
        <v>56</v>
      </c>
      <c r="I63" s="57"/>
      <c r="J63" s="57"/>
      <c r="K63" s="86" t="s">
        <v>10</v>
      </c>
      <c r="L63" s="88"/>
      <c r="M63" s="20" t="s">
        <v>10</v>
      </c>
      <c r="N63" s="13" t="str">
        <f>IF(((K64*2 +L64) = 3),"min",IF((K64*2+L64 = 2), "s",IF((K64*2+L64=1),"ms","us")))</f>
        <v>s</v>
      </c>
      <c r="O63" s="2"/>
      <c r="P63" s="1"/>
      <c r="Q63" s="2" t="s">
        <v>67</v>
      </c>
      <c r="R63" s="13">
        <f>(P64*4)+((_xlfn.BITAND(P61,768)/2^8))</f>
        <v>104</v>
      </c>
      <c r="S63" s="13" t="str">
        <f>IF(R63&lt;16,CONCATENATE("0x0",(DEC2HEX(R63))),CONCATENATE("0x",(DEC2HEX(R63))))</f>
        <v>0x68</v>
      </c>
      <c r="T63" s="5" t="str">
        <f>DEC2BIN(R63,8)</f>
        <v>01101000</v>
      </c>
      <c r="V63" t="str">
        <f t="shared" si="0"/>
        <v>0x68,</v>
      </c>
    </row>
    <row r="64" spans="5:22" x14ac:dyDescent="0.25">
      <c r="E64" s="102"/>
      <c r="F64" s="103"/>
      <c r="G64" s="104"/>
      <c r="H64" s="28">
        <v>1</v>
      </c>
      <c r="I64" s="28">
        <v>1</v>
      </c>
      <c r="J64" s="28">
        <v>0</v>
      </c>
      <c r="K64" s="28">
        <v>1</v>
      </c>
      <c r="L64" s="28">
        <v>0</v>
      </c>
      <c r="M64" s="20" t="s">
        <v>57</v>
      </c>
      <c r="N64" s="13">
        <f>IF(AND(H64 = 0,I64=0,J64=0), 16,IF(AND(H64 = 0,I64=0,J64=1),24,IF(AND(H64 = 0,I64=1,J64=0),32,IF(AND(H64 = 0,I64=1,J64=1),48,IF(AND(H64 = 1,I64=0,J64=0),64,IF(AND(H64 = 1,I64=0,J64=1),96,IF(AND(H64 = 1,I64=1,J64=0),128,IF(AND(H64 = 1,I64=1,J64=1),256,"false"))))))))</f>
        <v>128</v>
      </c>
      <c r="O64" s="2" t="s">
        <v>58</v>
      </c>
      <c r="P64" s="5">
        <f>BIN2DEC(CONCATENATE(H64,I64,J64,K64,L64))</f>
        <v>26</v>
      </c>
      <c r="Q64" s="2"/>
      <c r="R64" s="2"/>
      <c r="S64" s="2"/>
      <c r="T64" s="1"/>
      <c r="V64" t="str">
        <f t="shared" si="0"/>
        <v/>
      </c>
    </row>
    <row r="65" spans="5:22" x14ac:dyDescent="0.25">
      <c r="E65" s="57" t="s">
        <v>68</v>
      </c>
      <c r="F65" s="57"/>
      <c r="G65" s="57"/>
      <c r="H65" s="57"/>
      <c r="I65" s="57"/>
      <c r="J65" s="57"/>
      <c r="K65" s="57"/>
      <c r="L65" s="57"/>
      <c r="M65" s="1"/>
      <c r="P65" s="1"/>
      <c r="Q65" s="2"/>
      <c r="R65" s="2"/>
      <c r="S65" s="2"/>
      <c r="T65" s="1"/>
      <c r="V65" t="str">
        <f t="shared" si="0"/>
        <v/>
      </c>
    </row>
    <row r="66" spans="5:22" x14ac:dyDescent="0.25">
      <c r="E66" s="75">
        <v>2</v>
      </c>
      <c r="F66" s="75"/>
      <c r="G66" s="75"/>
      <c r="H66" s="75"/>
      <c r="I66" s="75"/>
      <c r="J66" s="75"/>
      <c r="K66" s="75"/>
      <c r="L66" s="75"/>
      <c r="M66" s="101" t="s">
        <v>5</v>
      </c>
      <c r="N66" s="76">
        <f>(P66*Variables!C1/Variables!C3)*Variables!C2</f>
        <v>1.9997069597069623</v>
      </c>
      <c r="O66" s="73" t="s">
        <v>5</v>
      </c>
      <c r="P66" s="76">
        <f>(IF(E66&lt;0,0,IF(E66&gt;4.8,4095,ROUND((E66/Variables!F3),0))))</f>
        <v>1706</v>
      </c>
      <c r="Q66" s="20" t="s">
        <v>69</v>
      </c>
      <c r="R66" s="13">
        <f>_xlfn.BITAND(P66,255)</f>
        <v>170</v>
      </c>
      <c r="S66" s="13" t="str">
        <f>IF(R66&lt;16,CONCATENATE("0x0",(DEC2HEX(R66))),CONCATENATE("0x",(DEC2HEX(R66))))</f>
        <v>0xAA</v>
      </c>
      <c r="T66" s="5" t="str">
        <f>DEC2BIN(R66,8)</f>
        <v>10101010</v>
      </c>
      <c r="V66" t="str">
        <f t="shared" si="0"/>
        <v>0xAA,</v>
      </c>
    </row>
    <row r="67" spans="5:22" x14ac:dyDescent="0.25">
      <c r="E67" s="75"/>
      <c r="F67" s="75"/>
      <c r="G67" s="75"/>
      <c r="H67" s="75"/>
      <c r="I67" s="75"/>
      <c r="J67" s="75"/>
      <c r="K67" s="75"/>
      <c r="L67" s="75"/>
      <c r="M67" s="101"/>
      <c r="N67" s="76"/>
      <c r="O67" s="73"/>
      <c r="P67" s="76"/>
      <c r="Q67" s="2"/>
      <c r="R67" s="2"/>
      <c r="S67" s="2"/>
      <c r="T67" s="1"/>
      <c r="V67" t="str">
        <f t="shared" si="0"/>
        <v/>
      </c>
    </row>
    <row r="68" spans="5:22" x14ac:dyDescent="0.25">
      <c r="E68" s="75"/>
      <c r="F68" s="75"/>
      <c r="G68" s="75"/>
      <c r="H68" s="75"/>
      <c r="I68" s="75"/>
      <c r="J68" s="75"/>
      <c r="K68" s="75"/>
      <c r="L68" s="75"/>
      <c r="M68" s="101"/>
      <c r="N68" s="76"/>
      <c r="O68" s="73"/>
      <c r="P68" s="76"/>
      <c r="Q68" s="2" t="s">
        <v>70</v>
      </c>
      <c r="R68" s="13">
        <f>((_xlfn.BITAND(P66,3840))/(2^8))</f>
        <v>6</v>
      </c>
      <c r="S68" s="13" t="str">
        <f>IF(R68&lt;16,CONCATENATE("0x0",(DEC2HEX(R68))),CONCATENATE("0x",(DEC2HEX(R68))))</f>
        <v>0x06</v>
      </c>
      <c r="T68" s="5" t="str">
        <f>DEC2BIN(R68,8)</f>
        <v>00000110</v>
      </c>
      <c r="V68" t="str">
        <f t="shared" si="0"/>
        <v>0x06,</v>
      </c>
    </row>
    <row r="69" spans="5:22" x14ac:dyDescent="0.25">
      <c r="E69" s="57" t="s">
        <v>71</v>
      </c>
      <c r="F69" s="57"/>
      <c r="G69" s="57"/>
      <c r="H69" s="57"/>
      <c r="I69" s="57"/>
      <c r="J69" s="57"/>
      <c r="K69" s="57"/>
      <c r="L69" s="57"/>
      <c r="M69" s="1"/>
      <c r="P69" s="1"/>
      <c r="Q69" s="2"/>
      <c r="R69" s="2"/>
      <c r="S69" s="2"/>
      <c r="T69" s="1"/>
      <c r="V69" t="str">
        <f t="shared" ref="V69:V117" si="1">IF((S69=U69),"", CONCATENATE(S69,","))</f>
        <v/>
      </c>
    </row>
    <row r="70" spans="5:22" x14ac:dyDescent="0.25">
      <c r="E70" s="75">
        <v>4.1500000000000004</v>
      </c>
      <c r="F70" s="75"/>
      <c r="G70" s="75"/>
      <c r="H70" s="75"/>
      <c r="I70" s="75"/>
      <c r="J70" s="75"/>
      <c r="K70" s="75"/>
      <c r="L70" s="75"/>
      <c r="M70" s="101" t="s">
        <v>5</v>
      </c>
      <c r="N70" s="76">
        <f>(P70*Variables!C1/Variables!C3)*Variables!C2</f>
        <v>4.1494505494505551</v>
      </c>
      <c r="O70" s="73" t="s">
        <v>5</v>
      </c>
      <c r="P70" s="76">
        <f>(IF(E70&lt;0,0,IF(E70&gt;4.8,4095,ROUND((E70/Variables!F3),0))))</f>
        <v>3540</v>
      </c>
      <c r="Q70" s="20" t="s">
        <v>72</v>
      </c>
      <c r="R70" s="13">
        <f>_xlfn.BITAND(P70,255)</f>
        <v>212</v>
      </c>
      <c r="S70" s="13" t="str">
        <f>IF(R70&lt;16,CONCATENATE("0x0",(DEC2HEX(R70))),CONCATENATE("0x",(DEC2HEX(R70))))</f>
        <v>0xD4</v>
      </c>
      <c r="T70" s="5" t="str">
        <f>DEC2BIN(R70,8)</f>
        <v>11010100</v>
      </c>
      <c r="V70" t="str">
        <f t="shared" si="1"/>
        <v>0xD4,</v>
      </c>
    </row>
    <row r="71" spans="5:22" x14ac:dyDescent="0.25">
      <c r="E71" s="75"/>
      <c r="F71" s="75"/>
      <c r="G71" s="75"/>
      <c r="H71" s="75"/>
      <c r="I71" s="75"/>
      <c r="J71" s="75"/>
      <c r="K71" s="75"/>
      <c r="L71" s="75"/>
      <c r="M71" s="101"/>
      <c r="N71" s="76"/>
      <c r="O71" s="73"/>
      <c r="P71" s="76"/>
      <c r="Q71" s="2"/>
      <c r="R71" s="2"/>
      <c r="S71" s="2"/>
      <c r="T71" s="1"/>
      <c r="V71" t="str">
        <f t="shared" si="1"/>
        <v/>
      </c>
    </row>
    <row r="72" spans="5:22" x14ac:dyDescent="0.25">
      <c r="E72" s="75"/>
      <c r="F72" s="75"/>
      <c r="G72" s="75"/>
      <c r="H72" s="75"/>
      <c r="I72" s="75"/>
      <c r="J72" s="75"/>
      <c r="K72" s="75"/>
      <c r="L72" s="75"/>
      <c r="M72" s="101"/>
      <c r="N72" s="76"/>
      <c r="O72" s="73"/>
      <c r="P72" s="76"/>
      <c r="Q72" s="2" t="s">
        <v>73</v>
      </c>
      <c r="R72" s="13">
        <f>((_xlfn.BITAND(P70,3840))/(2^8))</f>
        <v>13</v>
      </c>
      <c r="S72" s="13" t="str">
        <f>IF(R72&lt;16,CONCATENATE("0x0",(DEC2HEX(R72))),CONCATENATE("0x",(DEC2HEX(R72))))</f>
        <v>0x0D</v>
      </c>
      <c r="T72" s="5" t="str">
        <f>DEC2BIN(R72,8)</f>
        <v>00001101</v>
      </c>
      <c r="V72" t="str">
        <f t="shared" si="1"/>
        <v>0x0D,</v>
      </c>
    </row>
    <row r="73" spans="5:22" x14ac:dyDescent="0.25">
      <c r="E73" s="57" t="s">
        <v>74</v>
      </c>
      <c r="F73" s="57"/>
      <c r="G73" s="57"/>
      <c r="H73" s="57"/>
      <c r="I73" s="57"/>
      <c r="J73" s="57"/>
      <c r="K73" s="57"/>
      <c r="L73" s="57"/>
      <c r="M73" s="1"/>
      <c r="P73" s="1"/>
      <c r="Q73" s="2"/>
      <c r="R73" s="2"/>
      <c r="S73" s="2"/>
      <c r="T73" s="1"/>
      <c r="V73" t="str">
        <f t="shared" si="1"/>
        <v/>
      </c>
    </row>
    <row r="74" spans="5:22" x14ac:dyDescent="0.25">
      <c r="E74" s="75">
        <v>0.02</v>
      </c>
      <c r="F74" s="75"/>
      <c r="G74" s="75"/>
      <c r="H74" s="75"/>
      <c r="I74" s="75"/>
      <c r="J74" s="75"/>
      <c r="K74" s="75"/>
      <c r="L74" s="75"/>
      <c r="M74" s="101" t="s">
        <v>5</v>
      </c>
      <c r="N74" s="76">
        <f>(P74*Variables!C1/Variables!C3)*Variables!C2</f>
        <v>1.9926739926739951E-2</v>
      </c>
      <c r="O74" s="73" t="s">
        <v>5</v>
      </c>
      <c r="P74" s="76">
        <f>(IF(E74&lt;0,0,IF(E74&gt;4.8,4095,ROUND((E74/Variables!F3),0))))</f>
        <v>17</v>
      </c>
      <c r="Q74" s="20" t="s">
        <v>75</v>
      </c>
      <c r="R74" s="13">
        <f>_xlfn.BITAND(P74,255)</f>
        <v>17</v>
      </c>
      <c r="S74" s="13" t="str">
        <f>IF(R74&lt;16,CONCATENATE("0x0",(DEC2HEX(R74))),CONCATENATE("0x",(DEC2HEX(R74))))</f>
        <v>0x11</v>
      </c>
      <c r="T74" s="5" t="str">
        <f>DEC2BIN(R74,8)</f>
        <v>00010001</v>
      </c>
      <c r="V74" t="str">
        <f t="shared" si="1"/>
        <v>0x11,</v>
      </c>
    </row>
    <row r="75" spans="5:22" x14ac:dyDescent="0.25">
      <c r="E75" s="75"/>
      <c r="F75" s="75"/>
      <c r="G75" s="75"/>
      <c r="H75" s="75"/>
      <c r="I75" s="75"/>
      <c r="J75" s="75"/>
      <c r="K75" s="75"/>
      <c r="L75" s="75"/>
      <c r="M75" s="101"/>
      <c r="N75" s="76"/>
      <c r="O75" s="73"/>
      <c r="P75" s="76"/>
      <c r="Q75" s="2"/>
      <c r="R75" s="2"/>
      <c r="S75" s="2"/>
      <c r="T75" s="1"/>
      <c r="V75" t="str">
        <f t="shared" si="1"/>
        <v/>
      </c>
    </row>
    <row r="76" spans="5:22" x14ac:dyDescent="0.25">
      <c r="E76" s="75"/>
      <c r="F76" s="75"/>
      <c r="G76" s="75"/>
      <c r="H76" s="75"/>
      <c r="I76" s="75"/>
      <c r="J76" s="75"/>
      <c r="K76" s="75"/>
      <c r="L76" s="75"/>
      <c r="M76" s="101"/>
      <c r="N76" s="76"/>
      <c r="O76" s="73"/>
      <c r="P76" s="76"/>
      <c r="Q76" s="2" t="s">
        <v>76</v>
      </c>
      <c r="R76" s="13">
        <f>((_xlfn.BITAND(P74,3840))/(2^8))</f>
        <v>0</v>
      </c>
      <c r="S76" s="13" t="str">
        <f>IF(R76&lt;16,CONCATENATE("0x0",(DEC2HEX(R76))),CONCATENATE("0x",(DEC2HEX(R76))))</f>
        <v>0x00</v>
      </c>
      <c r="T76" s="5" t="str">
        <f>DEC2BIN(R76,8)</f>
        <v>00000000</v>
      </c>
      <c r="V76" t="str">
        <f t="shared" si="1"/>
        <v>0x00,</v>
      </c>
    </row>
    <row r="77" spans="5:22" x14ac:dyDescent="0.25">
      <c r="E77" s="57" t="s">
        <v>77</v>
      </c>
      <c r="F77" s="57"/>
      <c r="G77" s="57"/>
      <c r="H77" s="57"/>
      <c r="I77" s="57"/>
      <c r="J77" s="57"/>
      <c r="K77" s="57"/>
      <c r="L77" s="57"/>
      <c r="M77" s="1"/>
      <c r="P77" s="1"/>
      <c r="Q77" s="2"/>
      <c r="R77" s="2"/>
      <c r="S77" s="2"/>
      <c r="T77" s="1"/>
      <c r="V77" t="str">
        <f t="shared" si="1"/>
        <v/>
      </c>
    </row>
    <row r="78" spans="5:22" x14ac:dyDescent="0.25">
      <c r="E78" s="75">
        <v>5</v>
      </c>
      <c r="F78" s="75"/>
      <c r="G78" s="75"/>
      <c r="H78" s="75"/>
      <c r="I78" s="75"/>
      <c r="J78" s="75"/>
      <c r="K78" s="75"/>
      <c r="L78" s="75"/>
      <c r="M78" s="101" t="s">
        <v>5</v>
      </c>
      <c r="N78" s="76">
        <f>(P78*Variables!C1/Variables!C3)*Variables!C2</f>
        <v>4.800000000000006</v>
      </c>
      <c r="O78" s="73" t="s">
        <v>5</v>
      </c>
      <c r="P78" s="76">
        <f>(IF(E78&lt;0,0,IF(E78&gt;4.8,4095,ROUND((E78/Variables!F3),0))))</f>
        <v>4095</v>
      </c>
      <c r="Q78" s="20" t="s">
        <v>78</v>
      </c>
      <c r="R78" s="13">
        <f>_xlfn.BITAND(P78,255)</f>
        <v>255</v>
      </c>
      <c r="S78" s="13" t="str">
        <f>IF(R78&lt;16,CONCATENATE("0x0",(DEC2HEX(R78))),CONCATENATE("0x",(DEC2HEX(R78))))</f>
        <v>0xFF</v>
      </c>
      <c r="T78" s="5" t="str">
        <f>DEC2BIN(R78,8)</f>
        <v>11111111</v>
      </c>
      <c r="V78" t="str">
        <f t="shared" si="1"/>
        <v>0xFF,</v>
      </c>
    </row>
    <row r="79" spans="5:22" x14ac:dyDescent="0.25">
      <c r="E79" s="75"/>
      <c r="F79" s="75"/>
      <c r="G79" s="75"/>
      <c r="H79" s="75"/>
      <c r="I79" s="75"/>
      <c r="J79" s="75"/>
      <c r="K79" s="75"/>
      <c r="L79" s="75"/>
      <c r="M79" s="101"/>
      <c r="N79" s="76"/>
      <c r="O79" s="73"/>
      <c r="P79" s="76"/>
      <c r="Q79" s="2"/>
      <c r="R79" s="2"/>
      <c r="S79" s="2"/>
      <c r="T79" s="1"/>
      <c r="V79" t="str">
        <f t="shared" si="1"/>
        <v/>
      </c>
    </row>
    <row r="80" spans="5:22" x14ac:dyDescent="0.25">
      <c r="E80" s="75"/>
      <c r="F80" s="75"/>
      <c r="G80" s="75"/>
      <c r="H80" s="75"/>
      <c r="I80" s="75"/>
      <c r="J80" s="75"/>
      <c r="K80" s="75"/>
      <c r="L80" s="75"/>
      <c r="M80" s="101"/>
      <c r="N80" s="76"/>
      <c r="O80" s="73"/>
      <c r="P80" s="76"/>
      <c r="Q80" s="2" t="s">
        <v>79</v>
      </c>
      <c r="R80" s="13">
        <f>((_xlfn.BITAND(P78,3840))/(2^8))</f>
        <v>15</v>
      </c>
      <c r="S80" s="13" t="str">
        <f>IF(R80&lt;16,CONCATENATE("0x0",(DEC2HEX(R80))),CONCATENATE("0x",(DEC2HEX(R80))))</f>
        <v>0x0F</v>
      </c>
      <c r="T80" s="5" t="str">
        <f>DEC2BIN(R80,8)</f>
        <v>00001111</v>
      </c>
      <c r="V80" t="str">
        <f t="shared" si="1"/>
        <v>0x0F,</v>
      </c>
    </row>
    <row r="81" spans="4:22" x14ac:dyDescent="0.25">
      <c r="E81" s="57" t="s">
        <v>80</v>
      </c>
      <c r="F81" s="57"/>
      <c r="G81" s="57"/>
      <c r="H81" s="57"/>
      <c r="I81" s="57"/>
      <c r="J81" s="57"/>
      <c r="K81" s="57"/>
      <c r="L81" s="57"/>
      <c r="M81" s="11"/>
      <c r="P81" s="11"/>
      <c r="Q81" s="24"/>
      <c r="R81" s="2"/>
      <c r="S81" s="2"/>
      <c r="T81" s="1"/>
      <c r="V81" t="str">
        <f t="shared" si="1"/>
        <v/>
      </c>
    </row>
    <row r="82" spans="4:22" x14ac:dyDescent="0.25">
      <c r="E82" s="72">
        <v>4</v>
      </c>
      <c r="F82" s="72"/>
      <c r="G82" s="72"/>
      <c r="H82" s="72"/>
      <c r="I82" s="72"/>
      <c r="J82" s="72"/>
      <c r="K82" s="72"/>
      <c r="L82" s="72"/>
      <c r="M82" s="16"/>
      <c r="N82" s="22">
        <f>IF(E82&lt;0, "0", IF(E82 &gt; 1024, "1024",ROUND(E82,0)))</f>
        <v>4</v>
      </c>
      <c r="O82" s="22" t="str">
        <f>N85</f>
        <v>s</v>
      </c>
      <c r="P82" s="22">
        <f>N82</f>
        <v>4</v>
      </c>
      <c r="Q82" s="2"/>
      <c r="R82" s="2"/>
      <c r="S82" s="2"/>
      <c r="T82" s="1"/>
      <c r="V82" t="str">
        <f t="shared" si="1"/>
        <v/>
      </c>
    </row>
    <row r="83" spans="4:22" x14ac:dyDescent="0.25">
      <c r="E83" s="86" t="s">
        <v>85</v>
      </c>
      <c r="F83" s="87"/>
      <c r="G83" s="87"/>
      <c r="H83" s="87"/>
      <c r="I83" s="87"/>
      <c r="J83" s="87"/>
      <c r="K83" s="87"/>
      <c r="L83" s="88"/>
      <c r="M83" s="11"/>
      <c r="P83" s="11"/>
      <c r="Q83" s="2" t="s">
        <v>83</v>
      </c>
      <c r="R83" s="13">
        <f>_xlfn.BITAND(P82,255)</f>
        <v>4</v>
      </c>
      <c r="S83" s="13" t="str">
        <f>IF(R83&lt;16,CONCATENATE("0x0",(DEC2HEX(R83))),CONCATENATE("0x",(DEC2HEX(R83))))</f>
        <v>0x04</v>
      </c>
      <c r="T83" s="5" t="str">
        <f>DEC2BIN(R83,8)</f>
        <v>00000100</v>
      </c>
      <c r="V83" t="str">
        <f t="shared" si="1"/>
        <v>0x04,</v>
      </c>
    </row>
    <row r="84" spans="4:22" x14ac:dyDescent="0.25">
      <c r="E84" s="86" t="s">
        <v>81</v>
      </c>
      <c r="F84" s="87"/>
      <c r="G84" s="87"/>
      <c r="H84" s="88"/>
      <c r="I84" s="86" t="s">
        <v>181</v>
      </c>
      <c r="J84" s="87"/>
      <c r="K84" s="87"/>
      <c r="L84" s="88"/>
      <c r="M84" s="11"/>
      <c r="P84" s="11"/>
      <c r="Q84" s="2"/>
      <c r="R84" s="2"/>
      <c r="S84" s="2"/>
      <c r="T84" s="1"/>
      <c r="V84" t="str">
        <f t="shared" si="1"/>
        <v/>
      </c>
    </row>
    <row r="85" spans="4:22" x14ac:dyDescent="0.25">
      <c r="E85" s="75">
        <v>1</v>
      </c>
      <c r="F85" s="75"/>
      <c r="G85" s="75"/>
      <c r="H85" s="75"/>
      <c r="I85" s="75">
        <v>0</v>
      </c>
      <c r="J85" s="75"/>
      <c r="K85" s="75"/>
      <c r="L85" s="75"/>
      <c r="M85" s="16"/>
      <c r="N85" s="22" t="str">
        <f>IF(((E85*2 +I85) = 3),"min",IF((E85*2+I85 = 2), "s",IF((E85*2+I85=1),"ms","us")))</f>
        <v>s</v>
      </c>
      <c r="O85" s="16"/>
      <c r="P85" s="22">
        <f>IF(N85="min",3,IF(N85="s",2,IF(N85="ms",1,0)))</f>
        <v>2</v>
      </c>
      <c r="Q85" s="16" t="s">
        <v>84</v>
      </c>
      <c r="R85" s="22">
        <f>(P85*4)+((_xlfn.BITAND(P82,768)/2^8))</f>
        <v>8</v>
      </c>
      <c r="S85" s="22" t="str">
        <f>IF(R85&lt;16,CONCATENATE("0x0",(DEC2HEX(R85))),CONCATENATE("0x",(DEC2HEX(R85))))</f>
        <v>0x08</v>
      </c>
      <c r="T85" s="5" t="str">
        <f>DEC2BIN(R85,8)</f>
        <v>00001000</v>
      </c>
      <c r="V85" t="str">
        <f t="shared" si="1"/>
        <v>0x08,</v>
      </c>
    </row>
    <row r="86" spans="4:22" x14ac:dyDescent="0.25">
      <c r="E86" s="57" t="s">
        <v>86</v>
      </c>
      <c r="F86" s="57"/>
      <c r="G86" s="57"/>
      <c r="H86" s="57"/>
      <c r="I86" s="57"/>
      <c r="J86" s="57"/>
      <c r="K86" s="57"/>
      <c r="L86" s="57"/>
      <c r="M86" s="11"/>
      <c r="P86" s="11"/>
      <c r="Q86" s="24"/>
      <c r="R86" s="2"/>
      <c r="S86" s="2"/>
      <c r="T86" s="1"/>
      <c r="V86" t="str">
        <f t="shared" si="1"/>
        <v/>
      </c>
    </row>
    <row r="87" spans="4:22" x14ac:dyDescent="0.25">
      <c r="E87" s="72">
        <v>500</v>
      </c>
      <c r="F87" s="72"/>
      <c r="G87" s="72"/>
      <c r="H87" s="72"/>
      <c r="I87" s="72"/>
      <c r="J87" s="72"/>
      <c r="K87" s="72"/>
      <c r="L87" s="72"/>
      <c r="M87" s="16"/>
      <c r="N87" s="22">
        <f>IF(E87&lt;0, "0", IF(E87 &gt; 1024, "1024",ROUND(E87,0)))</f>
        <v>500</v>
      </c>
      <c r="O87" s="16"/>
      <c r="P87" s="22">
        <f>N87</f>
        <v>500</v>
      </c>
      <c r="Q87" s="2"/>
      <c r="R87" s="2"/>
      <c r="S87" s="2"/>
      <c r="T87" s="1"/>
      <c r="V87" t="str">
        <f t="shared" si="1"/>
        <v/>
      </c>
    </row>
    <row r="88" spans="4:22" x14ac:dyDescent="0.25">
      <c r="E88" s="86" t="s">
        <v>87</v>
      </c>
      <c r="F88" s="87"/>
      <c r="G88" s="87"/>
      <c r="H88" s="87"/>
      <c r="I88" s="87"/>
      <c r="J88" s="87"/>
      <c r="K88" s="87"/>
      <c r="L88" s="88"/>
      <c r="M88" s="11"/>
      <c r="P88" s="11"/>
      <c r="Q88" s="2" t="s">
        <v>90</v>
      </c>
      <c r="R88" s="13">
        <f>_xlfn.BITAND(P87,255)</f>
        <v>244</v>
      </c>
      <c r="S88" s="13" t="str">
        <f>IF(R88&lt;16,CONCATENATE("0x0",(DEC2HEX(R88))),CONCATENATE("0x",(DEC2HEX(R88))))</f>
        <v>0xF4</v>
      </c>
      <c r="T88" s="5" t="str">
        <f>DEC2BIN(R88,8)</f>
        <v>11110100</v>
      </c>
      <c r="V88" t="str">
        <f t="shared" si="1"/>
        <v>0xF4,</v>
      </c>
    </row>
    <row r="89" spans="4:22" x14ac:dyDescent="0.25">
      <c r="E89" s="86" t="s">
        <v>183</v>
      </c>
      <c r="F89" s="87"/>
      <c r="G89" s="87"/>
      <c r="H89" s="88"/>
      <c r="I89" s="86" t="s">
        <v>182</v>
      </c>
      <c r="J89" s="87"/>
      <c r="K89" s="87"/>
      <c r="L89" s="88"/>
      <c r="M89" s="11"/>
      <c r="P89" s="11"/>
      <c r="Q89" s="2"/>
      <c r="R89" s="2"/>
      <c r="S89" s="2"/>
      <c r="T89" s="1"/>
      <c r="V89" t="str">
        <f t="shared" si="1"/>
        <v/>
      </c>
    </row>
    <row r="90" spans="4:22" x14ac:dyDescent="0.25">
      <c r="E90" s="75">
        <v>0</v>
      </c>
      <c r="F90" s="75"/>
      <c r="G90" s="75"/>
      <c r="H90" s="75"/>
      <c r="I90" s="75">
        <v>1</v>
      </c>
      <c r="J90" s="75"/>
      <c r="K90" s="75"/>
      <c r="L90" s="75"/>
      <c r="M90" s="16"/>
      <c r="N90" s="22" t="str">
        <f>IF(((E90*2 +I90) = 3),"min",IF((E90*2+I90 = 2), "s",IF((E90*2+I90=1),"ms","us")))</f>
        <v>ms</v>
      </c>
      <c r="O90" s="16"/>
      <c r="P90" s="22">
        <f>IF(N90="min",3,IF(N90="s",2,IF(N90="ms",1,0)))</f>
        <v>1</v>
      </c>
      <c r="Q90" s="16" t="s">
        <v>91</v>
      </c>
      <c r="R90" s="22">
        <f>(P90*4)+((_xlfn.BITAND(P87,768)/2^8))</f>
        <v>5</v>
      </c>
      <c r="S90" s="22" t="str">
        <f>IF(R90&lt;16,CONCATENATE("0x0",(DEC2HEX(R90))),CONCATENATE("0x",(DEC2HEX(R90))))</f>
        <v>0x05</v>
      </c>
      <c r="T90" s="5" t="str">
        <f>DEC2BIN(R90,8)</f>
        <v>00000101</v>
      </c>
      <c r="V90" t="str">
        <f t="shared" si="1"/>
        <v>0x05,</v>
      </c>
    </row>
    <row r="91" spans="4:22" x14ac:dyDescent="0.25">
      <c r="E91" s="73" t="s">
        <v>89</v>
      </c>
      <c r="F91" s="73"/>
      <c r="G91" s="73"/>
      <c r="H91" s="73"/>
      <c r="I91" s="73"/>
      <c r="J91" s="73"/>
      <c r="K91" s="73"/>
      <c r="L91" s="73"/>
      <c r="M91" s="1"/>
      <c r="P91" s="1"/>
      <c r="Q91" s="2"/>
      <c r="R91" s="2"/>
      <c r="S91" s="2"/>
      <c r="T91" s="1"/>
      <c r="V91" t="str">
        <f t="shared" si="1"/>
        <v/>
      </c>
    </row>
    <row r="92" spans="4:22" x14ac:dyDescent="0.25">
      <c r="E92" s="75">
        <f>0.6453*2</f>
        <v>1.2906</v>
      </c>
      <c r="F92" s="75"/>
      <c r="G92" s="75"/>
      <c r="H92" s="75"/>
      <c r="I92" s="75"/>
      <c r="J92" s="75"/>
      <c r="K92" s="75"/>
      <c r="L92" s="75"/>
      <c r="M92" s="101" t="s">
        <v>5</v>
      </c>
      <c r="N92" s="76">
        <f>(P92*Variables!C1/Variables!C3)</f>
        <v>1.2905494505494506</v>
      </c>
      <c r="O92" s="101" t="s">
        <v>5</v>
      </c>
      <c r="P92" s="76">
        <f>(IF(E92&lt;0,0,IF(E92&gt;1.8,4095,ROUND(((E92*4095)/1.8),0))))</f>
        <v>2936</v>
      </c>
      <c r="Q92" s="2" t="s">
        <v>92</v>
      </c>
      <c r="R92" s="13">
        <f>_xlfn.BITAND(P92,255)</f>
        <v>120</v>
      </c>
      <c r="S92" s="13" t="str">
        <f>IF(R92&lt;16,CONCATENATE("0x0",(DEC2HEX(R92))),CONCATENATE("0x",(DEC2HEX(R92))))</f>
        <v>0x78</v>
      </c>
      <c r="T92" s="5" t="str">
        <f>DEC2BIN(R92,8)</f>
        <v>01111000</v>
      </c>
      <c r="V92" t="str">
        <f t="shared" si="1"/>
        <v>0x78,</v>
      </c>
    </row>
    <row r="93" spans="4:22" x14ac:dyDescent="0.25">
      <c r="D93" t="s">
        <v>202</v>
      </c>
      <c r="E93" s="75"/>
      <c r="F93" s="75"/>
      <c r="G93" s="75"/>
      <c r="H93" s="75"/>
      <c r="I93" s="75"/>
      <c r="J93" s="75"/>
      <c r="K93" s="75"/>
      <c r="L93" s="75"/>
      <c r="M93" s="101"/>
      <c r="N93" s="76"/>
      <c r="O93" s="101"/>
      <c r="P93" s="76"/>
      <c r="Q93" s="2"/>
      <c r="R93" s="2"/>
      <c r="S93" s="2"/>
      <c r="T93" s="2"/>
      <c r="V93" t="str">
        <f t="shared" si="1"/>
        <v/>
      </c>
    </row>
    <row r="94" spans="4:22" x14ac:dyDescent="0.25">
      <c r="E94" s="75"/>
      <c r="F94" s="75"/>
      <c r="G94" s="75"/>
      <c r="H94" s="75"/>
      <c r="I94" s="75"/>
      <c r="J94" s="75"/>
      <c r="K94" s="75"/>
      <c r="L94" s="75"/>
      <c r="M94" s="101"/>
      <c r="N94" s="76"/>
      <c r="O94" s="101"/>
      <c r="P94" s="76"/>
      <c r="Q94" s="2" t="s">
        <v>93</v>
      </c>
      <c r="R94" s="13">
        <f>((_xlfn.BITAND(P92,3840))/(2^8))</f>
        <v>11</v>
      </c>
      <c r="S94" s="13" t="str">
        <f>IF(R94&lt;16,CONCATENATE("0x0",(DEC2HEX(R94))),CONCATENATE("0x",(DEC2HEX(R94))))</f>
        <v>0x0B</v>
      </c>
      <c r="T94" s="5" t="str">
        <f>DEC2BIN(R94,8)</f>
        <v>00001011</v>
      </c>
      <c r="V94" t="str">
        <f t="shared" si="1"/>
        <v>0x0B,</v>
      </c>
    </row>
    <row r="95" spans="4:22" x14ac:dyDescent="0.25">
      <c r="E95" s="73" t="s">
        <v>94</v>
      </c>
      <c r="F95" s="73"/>
      <c r="G95" s="73"/>
      <c r="H95" s="73"/>
      <c r="I95" s="73"/>
      <c r="J95" s="73"/>
      <c r="K95" s="73"/>
      <c r="L95" s="73"/>
      <c r="M95" s="1"/>
      <c r="P95" s="1"/>
      <c r="Q95" s="2"/>
      <c r="R95" s="2"/>
      <c r="S95" s="2"/>
      <c r="T95" s="1"/>
      <c r="V95" t="str">
        <f t="shared" si="1"/>
        <v/>
      </c>
    </row>
    <row r="96" spans="4:22" x14ac:dyDescent="0.25">
      <c r="E96" s="75">
        <f>0.6275*2</f>
        <v>1.2549999999999999</v>
      </c>
      <c r="F96" s="75"/>
      <c r="G96" s="75"/>
      <c r="H96" s="75"/>
      <c r="I96" s="75"/>
      <c r="J96" s="75"/>
      <c r="K96" s="75"/>
      <c r="L96" s="75"/>
      <c r="M96" s="101" t="s">
        <v>5</v>
      </c>
      <c r="N96" s="76">
        <f>(P96*Variables!C1/Variables!C3)</f>
        <v>1.2549450549450549</v>
      </c>
      <c r="O96" s="101" t="s">
        <v>5</v>
      </c>
      <c r="P96" s="76">
        <f>(IF(E96&lt;0,0,IF(E96&gt;1.8,4095,ROUND(((E96*4095)/1.8),0))))</f>
        <v>2855</v>
      </c>
      <c r="Q96" s="2" t="s">
        <v>95</v>
      </c>
      <c r="R96" s="13">
        <f>_xlfn.BITAND(P96,255)</f>
        <v>39</v>
      </c>
      <c r="S96" s="13" t="str">
        <f>IF(R96&lt;16,CONCATENATE("0x0",(DEC2HEX(R96))),CONCATENATE("0x",(DEC2HEX(R96))))</f>
        <v>0x27</v>
      </c>
      <c r="T96" s="5" t="str">
        <f>DEC2BIN(R96,8)</f>
        <v>00100111</v>
      </c>
      <c r="V96" t="str">
        <f t="shared" si="1"/>
        <v>0x27,</v>
      </c>
    </row>
    <row r="97" spans="4:22" x14ac:dyDescent="0.25">
      <c r="D97" t="s">
        <v>203</v>
      </c>
      <c r="E97" s="75"/>
      <c r="F97" s="75"/>
      <c r="G97" s="75"/>
      <c r="H97" s="75"/>
      <c r="I97" s="75"/>
      <c r="J97" s="75"/>
      <c r="K97" s="75"/>
      <c r="L97" s="75"/>
      <c r="M97" s="101"/>
      <c r="N97" s="76"/>
      <c r="O97" s="101"/>
      <c r="P97" s="76"/>
      <c r="Q97" s="2"/>
      <c r="R97" s="1"/>
      <c r="S97" s="1"/>
      <c r="T97" s="1"/>
      <c r="V97" t="str">
        <f t="shared" si="1"/>
        <v/>
      </c>
    </row>
    <row r="98" spans="4:22" x14ac:dyDescent="0.25">
      <c r="E98" s="75"/>
      <c r="F98" s="75"/>
      <c r="G98" s="75"/>
      <c r="H98" s="75"/>
      <c r="I98" s="75"/>
      <c r="J98" s="75"/>
      <c r="K98" s="75"/>
      <c r="L98" s="75"/>
      <c r="M98" s="101"/>
      <c r="N98" s="76"/>
      <c r="O98" s="101"/>
      <c r="P98" s="76"/>
      <c r="Q98" s="2" t="s">
        <v>96</v>
      </c>
      <c r="R98" s="13">
        <f>((_xlfn.BITAND(P96,3840))/(2^8))</f>
        <v>11</v>
      </c>
      <c r="S98" s="13" t="str">
        <f>IF(R98&lt;16,CONCATENATE("0x0",(DEC2HEX(R98))),CONCATENATE("0x",(DEC2HEX(R98))))</f>
        <v>0x0B</v>
      </c>
      <c r="T98" s="5" t="str">
        <f>DEC2BIN(R98,8)</f>
        <v>00001011</v>
      </c>
      <c r="V98" t="str">
        <f t="shared" si="1"/>
        <v>0x0B,</v>
      </c>
    </row>
    <row r="99" spans="4:22" x14ac:dyDescent="0.25">
      <c r="E99" s="73" t="s">
        <v>100</v>
      </c>
      <c r="F99" s="73"/>
      <c r="G99" s="73"/>
      <c r="H99" s="73"/>
      <c r="I99" s="73"/>
      <c r="J99" s="73"/>
      <c r="K99" s="73"/>
      <c r="L99" s="73"/>
      <c r="M99" s="1"/>
      <c r="P99" s="1"/>
      <c r="Q99" s="2"/>
      <c r="R99" s="2"/>
      <c r="S99" s="2"/>
      <c r="T99" s="1"/>
      <c r="V99" t="str">
        <f t="shared" si="1"/>
        <v/>
      </c>
    </row>
    <row r="100" spans="4:22" x14ac:dyDescent="0.25">
      <c r="E100" s="75">
        <f>0.3409*2</f>
        <v>0.68179999999999996</v>
      </c>
      <c r="F100" s="75"/>
      <c r="G100" s="75"/>
      <c r="H100" s="75"/>
      <c r="I100" s="75"/>
      <c r="J100" s="75"/>
      <c r="K100" s="75"/>
      <c r="L100" s="75"/>
      <c r="M100" s="101" t="s">
        <v>5</v>
      </c>
      <c r="N100" s="76">
        <f>(P100*Variables!C1/Variables!C3)</f>
        <v>0.68175824175824185</v>
      </c>
      <c r="O100" s="101" t="s">
        <v>5</v>
      </c>
      <c r="P100" s="76">
        <f>(IF(E100&lt;0,0,IF(E100&gt;1.8,4095,ROUND(((E100*4095)/1.8),0))))</f>
        <v>1551</v>
      </c>
      <c r="Q100" s="2" t="s">
        <v>97</v>
      </c>
      <c r="R100" s="13">
        <f>_xlfn.BITAND(P100,255)</f>
        <v>15</v>
      </c>
      <c r="S100" s="13" t="str">
        <f>IF(R100&lt;16,CONCATENATE("0x0",(DEC2HEX(R100))),CONCATENATE("0x",(DEC2HEX(R100))))</f>
        <v>0x0F</v>
      </c>
      <c r="T100" s="5" t="str">
        <f>DEC2BIN(R100,8)</f>
        <v>00001111</v>
      </c>
      <c r="V100" t="str">
        <f t="shared" si="1"/>
        <v>0x0F,</v>
      </c>
    </row>
    <row r="101" spans="4:22" x14ac:dyDescent="0.25">
      <c r="D101" t="s">
        <v>204</v>
      </c>
      <c r="E101" s="75"/>
      <c r="F101" s="75"/>
      <c r="G101" s="75"/>
      <c r="H101" s="75"/>
      <c r="I101" s="75"/>
      <c r="J101" s="75"/>
      <c r="K101" s="75"/>
      <c r="L101" s="75"/>
      <c r="M101" s="101"/>
      <c r="N101" s="76"/>
      <c r="O101" s="101"/>
      <c r="P101" s="76"/>
      <c r="Q101" s="2"/>
      <c r="R101" s="1"/>
      <c r="S101" s="1"/>
      <c r="T101" s="1"/>
      <c r="V101" t="str">
        <f t="shared" si="1"/>
        <v/>
      </c>
    </row>
    <row r="102" spans="4:22" x14ac:dyDescent="0.25">
      <c r="E102" s="75"/>
      <c r="F102" s="75"/>
      <c r="G102" s="75"/>
      <c r="H102" s="75"/>
      <c r="I102" s="75"/>
      <c r="J102" s="75"/>
      <c r="K102" s="75"/>
      <c r="L102" s="75"/>
      <c r="M102" s="101"/>
      <c r="N102" s="76"/>
      <c r="O102" s="101"/>
      <c r="P102" s="76"/>
      <c r="Q102" s="2" t="s">
        <v>98</v>
      </c>
      <c r="R102" s="13">
        <f>((_xlfn.BITAND(P100,3840))/(2^8))</f>
        <v>6</v>
      </c>
      <c r="S102" s="13" t="str">
        <f>IF(R102&lt;16,CONCATENATE("0x0",(DEC2HEX(R102))),CONCATENATE("0x",(DEC2HEX(R102))))</f>
        <v>0x06</v>
      </c>
      <c r="T102" s="5" t="str">
        <f>DEC2BIN(R102,8)</f>
        <v>00000110</v>
      </c>
      <c r="V102" t="str">
        <f t="shared" si="1"/>
        <v>0x06,</v>
      </c>
    </row>
    <row r="103" spans="4:22" x14ac:dyDescent="0.25">
      <c r="E103" s="73" t="s">
        <v>101</v>
      </c>
      <c r="F103" s="73"/>
      <c r="G103" s="73"/>
      <c r="H103" s="73"/>
      <c r="I103" s="73"/>
      <c r="J103" s="73"/>
      <c r="K103" s="73"/>
      <c r="L103" s="73"/>
      <c r="M103" s="1"/>
      <c r="P103" s="9"/>
      <c r="Q103" s="19"/>
      <c r="R103" s="19"/>
      <c r="S103" s="2"/>
      <c r="T103" s="1"/>
      <c r="V103" t="str">
        <f t="shared" si="1"/>
        <v/>
      </c>
    </row>
    <row r="104" spans="4:22" x14ac:dyDescent="0.25">
      <c r="E104" s="75">
        <f>0.380481924339651*2</f>
        <v>0.760963848679302</v>
      </c>
      <c r="F104" s="75"/>
      <c r="G104" s="75"/>
      <c r="H104" s="75"/>
      <c r="I104" s="75"/>
      <c r="J104" s="75"/>
      <c r="K104" s="75"/>
      <c r="L104" s="75"/>
      <c r="M104" s="101" t="s">
        <v>5</v>
      </c>
      <c r="N104" s="76">
        <f>(P104*Variables!C1/Variables!C3)</f>
        <v>0.76087912087912091</v>
      </c>
      <c r="O104" s="105" t="s">
        <v>5</v>
      </c>
      <c r="P104" s="76">
        <f>(IF(E104&lt;0,0,IF(E104&gt;1.8,4095,ROUND(((E104*4095)/1.8),0))))</f>
        <v>1731</v>
      </c>
      <c r="Q104" s="2" t="s">
        <v>99</v>
      </c>
      <c r="R104" s="13">
        <f>_xlfn.BITAND(P104,255)</f>
        <v>195</v>
      </c>
      <c r="S104" s="27" t="str">
        <f>IF(R104&lt;16,CONCATENATE("0x0",(DEC2HEX(R104))),CONCATENATE("0x",(DEC2HEX(R104))))</f>
        <v>0xC3</v>
      </c>
      <c r="T104" s="5" t="str">
        <f>DEC2BIN(R104,8)</f>
        <v>11000011</v>
      </c>
      <c r="V104" t="str">
        <f t="shared" si="1"/>
        <v>0xC3,</v>
      </c>
    </row>
    <row r="105" spans="4:22" x14ac:dyDescent="0.25">
      <c r="D105" t="s">
        <v>205</v>
      </c>
      <c r="E105" s="75"/>
      <c r="F105" s="75"/>
      <c r="G105" s="75"/>
      <c r="H105" s="75"/>
      <c r="I105" s="75"/>
      <c r="J105" s="75"/>
      <c r="K105" s="75"/>
      <c r="L105" s="75"/>
      <c r="M105" s="101"/>
      <c r="N105" s="76"/>
      <c r="O105" s="105"/>
      <c r="P105" s="76"/>
      <c r="Q105" s="2"/>
      <c r="R105" s="1"/>
      <c r="S105" s="6"/>
      <c r="T105" s="1"/>
      <c r="V105" t="str">
        <f t="shared" si="1"/>
        <v/>
      </c>
    </row>
    <row r="106" spans="4:22" x14ac:dyDescent="0.25">
      <c r="E106" s="75"/>
      <c r="F106" s="75"/>
      <c r="G106" s="75"/>
      <c r="H106" s="75"/>
      <c r="I106" s="75"/>
      <c r="J106" s="75"/>
      <c r="K106" s="75"/>
      <c r="L106" s="75"/>
      <c r="M106" s="101"/>
      <c r="N106" s="76"/>
      <c r="O106" s="105"/>
      <c r="P106" s="76"/>
      <c r="Q106" s="2" t="s">
        <v>105</v>
      </c>
      <c r="R106" s="13">
        <f>((_xlfn.BITAND(P104,3840))/(2^8))</f>
        <v>6</v>
      </c>
      <c r="S106" s="27" t="str">
        <f>IF(R106&lt;16,CONCATENATE("0x0",(DEC2HEX(R106))),CONCATENATE("0x",(DEC2HEX(R106))))</f>
        <v>0x06</v>
      </c>
      <c r="T106" s="5" t="str">
        <f>DEC2BIN(R106,8)</f>
        <v>00000110</v>
      </c>
      <c r="V106" t="str">
        <f t="shared" si="1"/>
        <v>0x06,</v>
      </c>
    </row>
    <row r="107" spans="4:22" x14ac:dyDescent="0.25">
      <c r="E107" s="73" t="s">
        <v>106</v>
      </c>
      <c r="F107" s="73"/>
      <c r="G107" s="73"/>
      <c r="H107" s="73"/>
      <c r="I107" s="73"/>
      <c r="J107" s="73"/>
      <c r="K107" s="73"/>
      <c r="L107" s="73"/>
      <c r="M107" s="1"/>
      <c r="P107" s="9"/>
      <c r="Q107" s="19"/>
      <c r="R107" s="19"/>
      <c r="S107" s="2"/>
      <c r="T107" s="1"/>
      <c r="V107" t="str">
        <f t="shared" si="1"/>
        <v/>
      </c>
    </row>
    <row r="108" spans="4:22" x14ac:dyDescent="0.25">
      <c r="E108" s="75">
        <f>0.2363*2</f>
        <v>0.47260000000000002</v>
      </c>
      <c r="F108" s="75"/>
      <c r="G108" s="75"/>
      <c r="H108" s="75"/>
      <c r="I108" s="75"/>
      <c r="J108" s="75"/>
      <c r="K108" s="75"/>
      <c r="L108" s="75"/>
      <c r="M108" s="101" t="s">
        <v>5</v>
      </c>
      <c r="N108" s="76">
        <f>(P108*Variables!C1/Variables!C3)</f>
        <v>0.47252747252747251</v>
      </c>
      <c r="O108" s="105" t="s">
        <v>5</v>
      </c>
      <c r="P108" s="76">
        <f>(IF(E108&lt;0,0,IF(E108&gt;1.8,4095,ROUND(((E108*4095)/1.8),0))))</f>
        <v>1075</v>
      </c>
      <c r="Q108" s="2" t="s">
        <v>103</v>
      </c>
      <c r="R108" s="13">
        <f>_xlfn.BITAND(P108,255)</f>
        <v>51</v>
      </c>
      <c r="S108" s="27" t="str">
        <f>IF(R108&lt;16,CONCATENATE("0x0",(DEC2HEX(R108))),CONCATENATE("0x",(DEC2HEX(R108))))</f>
        <v>0x33</v>
      </c>
      <c r="T108" s="5" t="str">
        <f>DEC2BIN(R108,8)</f>
        <v>00110011</v>
      </c>
      <c r="V108" t="str">
        <f t="shared" si="1"/>
        <v>0x33,</v>
      </c>
    </row>
    <row r="109" spans="4:22" x14ac:dyDescent="0.25">
      <c r="D109" t="s">
        <v>206</v>
      </c>
      <c r="E109" s="75"/>
      <c r="F109" s="75"/>
      <c r="G109" s="75"/>
      <c r="H109" s="75"/>
      <c r="I109" s="75"/>
      <c r="J109" s="75"/>
      <c r="K109" s="75"/>
      <c r="L109" s="75"/>
      <c r="M109" s="101"/>
      <c r="N109" s="76"/>
      <c r="O109" s="105"/>
      <c r="P109" s="76"/>
      <c r="Q109" s="2"/>
      <c r="R109" s="1"/>
      <c r="S109" s="6"/>
      <c r="T109" s="1"/>
      <c r="V109" t="str">
        <f t="shared" si="1"/>
        <v/>
      </c>
    </row>
    <row r="110" spans="4:22" x14ac:dyDescent="0.25">
      <c r="E110" s="75"/>
      <c r="F110" s="75"/>
      <c r="G110" s="75"/>
      <c r="H110" s="75"/>
      <c r="I110" s="75"/>
      <c r="J110" s="75"/>
      <c r="K110" s="75"/>
      <c r="L110" s="75"/>
      <c r="M110" s="101"/>
      <c r="N110" s="76"/>
      <c r="O110" s="105"/>
      <c r="P110" s="76"/>
      <c r="Q110" s="2" t="s">
        <v>104</v>
      </c>
      <c r="R110" s="13">
        <f>((_xlfn.BITAND(P108,3840))/(2^8))</f>
        <v>4</v>
      </c>
      <c r="S110" s="27" t="str">
        <f>IF(R110&lt;16,CONCATENATE("0x0",(DEC2HEX(R110))),CONCATENATE("0x",(DEC2HEX(R110))))</f>
        <v>0x04</v>
      </c>
      <c r="T110" s="5" t="str">
        <f>DEC2BIN(R110,8)</f>
        <v>00000100</v>
      </c>
      <c r="V110" t="str">
        <f t="shared" si="1"/>
        <v>0x04,</v>
      </c>
    </row>
    <row r="111" spans="4:22" x14ac:dyDescent="0.25">
      <c r="E111" s="73" t="s">
        <v>102</v>
      </c>
      <c r="F111" s="73"/>
      <c r="G111" s="73"/>
      <c r="H111" s="73"/>
      <c r="I111" s="73"/>
      <c r="J111" s="73"/>
      <c r="K111" s="73"/>
      <c r="L111" s="73"/>
      <c r="M111" s="1"/>
      <c r="P111" s="9"/>
      <c r="Q111" s="19"/>
      <c r="R111" s="19"/>
      <c r="S111" s="2"/>
      <c r="T111" s="1"/>
      <c r="V111" t="str">
        <f t="shared" si="1"/>
        <v/>
      </c>
    </row>
    <row r="112" spans="4:22" x14ac:dyDescent="0.25">
      <c r="E112" s="75">
        <f>0.2683*2</f>
        <v>0.53659999999999997</v>
      </c>
      <c r="F112" s="75"/>
      <c r="G112" s="75"/>
      <c r="H112" s="75"/>
      <c r="I112" s="75"/>
      <c r="J112" s="75"/>
      <c r="K112" s="75"/>
      <c r="L112" s="75"/>
      <c r="M112" s="101" t="s">
        <v>5</v>
      </c>
      <c r="N112" s="76">
        <f>(P112*Variables!C1/Variables!C3)</f>
        <v>0.53670329670329675</v>
      </c>
      <c r="O112" s="105" t="s">
        <v>5</v>
      </c>
      <c r="P112" s="76">
        <f>(IF(E112&lt;0,0,IF(E112&gt;1.8,4095,ROUND(((E112*4095)/1.8),0))))</f>
        <v>1221</v>
      </c>
      <c r="Q112" s="2" t="s">
        <v>107</v>
      </c>
      <c r="R112" s="13">
        <f>_xlfn.BITAND(P112,255)</f>
        <v>197</v>
      </c>
      <c r="S112" s="27" t="str">
        <f>IF(R112&lt;16,CONCATENATE("0x0",(DEC2HEX(R112))),CONCATENATE("0x",(DEC2HEX(R112))))</f>
        <v>0xC5</v>
      </c>
      <c r="T112" s="5" t="str">
        <f>DEC2BIN(R112,8)</f>
        <v>11000101</v>
      </c>
      <c r="V112" t="str">
        <f t="shared" si="1"/>
        <v>0xC5,</v>
      </c>
    </row>
    <row r="113" spans="4:22" x14ac:dyDescent="0.25">
      <c r="D113" t="s">
        <v>207</v>
      </c>
      <c r="E113" s="75"/>
      <c r="F113" s="75"/>
      <c r="G113" s="75"/>
      <c r="H113" s="75"/>
      <c r="I113" s="75"/>
      <c r="J113" s="75"/>
      <c r="K113" s="75"/>
      <c r="L113" s="75"/>
      <c r="M113" s="101"/>
      <c r="N113" s="76"/>
      <c r="O113" s="105"/>
      <c r="P113" s="76"/>
      <c r="Q113" s="2"/>
      <c r="R113" s="1"/>
      <c r="S113" s="6"/>
      <c r="T113" s="1"/>
      <c r="V113" t="str">
        <f t="shared" si="1"/>
        <v/>
      </c>
    </row>
    <row r="114" spans="4:22" x14ac:dyDescent="0.25">
      <c r="E114" s="75"/>
      <c r="F114" s="75"/>
      <c r="G114" s="75"/>
      <c r="H114" s="75"/>
      <c r="I114" s="75"/>
      <c r="J114" s="75"/>
      <c r="K114" s="75"/>
      <c r="L114" s="75"/>
      <c r="M114" s="101"/>
      <c r="N114" s="76"/>
      <c r="O114" s="105"/>
      <c r="P114" s="76"/>
      <c r="Q114" s="2" t="s">
        <v>108</v>
      </c>
      <c r="R114" s="13">
        <f>((_xlfn.BITAND(P112,3840))/(2^8))</f>
        <v>4</v>
      </c>
      <c r="S114" s="27" t="str">
        <f>IF(R114&lt;16,CONCATENATE("0x0",(DEC2HEX(R114))),CONCATENATE("0x",(DEC2HEX(R114))))</f>
        <v>0x04</v>
      </c>
      <c r="T114" s="5" t="str">
        <f>DEC2BIN(R114,8)</f>
        <v>00000100</v>
      </c>
      <c r="V114" t="str">
        <f t="shared" si="1"/>
        <v>0x04,</v>
      </c>
    </row>
    <row r="115" spans="4:22" x14ac:dyDescent="0.25">
      <c r="E115" s="73" t="s">
        <v>109</v>
      </c>
      <c r="F115" s="73"/>
      <c r="G115" s="73"/>
      <c r="H115" s="73"/>
      <c r="I115" s="73"/>
      <c r="J115" s="73"/>
      <c r="K115" s="73"/>
      <c r="L115" s="73"/>
      <c r="M115" s="1"/>
      <c r="P115" s="9"/>
      <c r="Q115" s="19"/>
      <c r="R115" s="19"/>
      <c r="S115" s="2"/>
      <c r="T115" s="1"/>
      <c r="V115" t="str">
        <f t="shared" si="1"/>
        <v/>
      </c>
    </row>
    <row r="116" spans="4:22" x14ac:dyDescent="0.25">
      <c r="E116" s="75">
        <f>0.6564*2</f>
        <v>1.3128</v>
      </c>
      <c r="F116" s="75"/>
      <c r="G116" s="75"/>
      <c r="H116" s="75"/>
      <c r="I116" s="75"/>
      <c r="J116" s="75"/>
      <c r="K116" s="75"/>
      <c r="L116" s="75"/>
      <c r="M116" s="101" t="s">
        <v>5</v>
      </c>
      <c r="N116" s="76">
        <f>(P116*Variables!C1/Variables!C3)</f>
        <v>1.3129670329670331</v>
      </c>
      <c r="O116" s="105" t="s">
        <v>5</v>
      </c>
      <c r="P116" s="76">
        <f>(IF(E116&lt;0,0,IF(E116&gt;1.8,4095,ROUND(((E116*4095)/1.8),0))))</f>
        <v>2987</v>
      </c>
      <c r="Q116" s="2" t="s">
        <v>110</v>
      </c>
      <c r="R116" s="13">
        <f>_xlfn.BITAND(P116,255)</f>
        <v>171</v>
      </c>
      <c r="S116" s="27" t="str">
        <f>IF(R116&lt;16,CONCATENATE("0x0",(DEC2HEX(R116))),CONCATENATE("0x",(DEC2HEX(R116))))</f>
        <v>0xAB</v>
      </c>
      <c r="T116" s="5" t="str">
        <f>DEC2BIN(R116,8)</f>
        <v>10101011</v>
      </c>
      <c r="U116" s="47"/>
      <c r="V116" t="str">
        <f t="shared" si="1"/>
        <v>0xAB,</v>
      </c>
    </row>
    <row r="117" spans="4:22" x14ac:dyDescent="0.25">
      <c r="D117" t="s">
        <v>208</v>
      </c>
      <c r="E117" s="75"/>
      <c r="F117" s="75"/>
      <c r="G117" s="75"/>
      <c r="H117" s="75"/>
      <c r="I117" s="75"/>
      <c r="J117" s="75"/>
      <c r="K117" s="75"/>
      <c r="L117" s="75"/>
      <c r="M117" s="101"/>
      <c r="N117" s="76"/>
      <c r="O117" s="105"/>
      <c r="P117" s="76"/>
      <c r="Q117" s="2"/>
      <c r="R117" s="1"/>
      <c r="S117" s="6"/>
      <c r="T117" s="1"/>
      <c r="V117" t="str">
        <f t="shared" si="1"/>
        <v/>
      </c>
    </row>
    <row r="118" spans="4:22" x14ac:dyDescent="0.25">
      <c r="E118" s="75"/>
      <c r="F118" s="75"/>
      <c r="G118" s="75"/>
      <c r="H118" s="75"/>
      <c r="I118" s="75"/>
      <c r="J118" s="75"/>
      <c r="K118" s="75"/>
      <c r="L118" s="75"/>
      <c r="M118" s="101"/>
      <c r="N118" s="76"/>
      <c r="O118" s="105"/>
      <c r="P118" s="76"/>
      <c r="Q118" s="2" t="s">
        <v>111</v>
      </c>
      <c r="R118" s="13">
        <f>((_xlfn.BITAND(P116,3840))/(2^8))</f>
        <v>11</v>
      </c>
      <c r="S118" s="27" t="str">
        <f>IF(R118&lt;16,CONCATENATE("0x0",(DEC2HEX(R118))),CONCATENATE("0x",(DEC2HEX(R118))))</f>
        <v>0x0B</v>
      </c>
      <c r="T118" s="5" t="str">
        <f>DEC2BIN(R118,8)</f>
        <v>00001011</v>
      </c>
      <c r="V118" t="str">
        <f>IF((S118=U118),"", CONCATENATE(S118,","))</f>
        <v>0x0B,</v>
      </c>
    </row>
    <row r="119" spans="4:22" x14ac:dyDescent="0.25">
      <c r="E119" s="73" t="s">
        <v>112</v>
      </c>
      <c r="F119" s="73"/>
      <c r="G119" s="73"/>
      <c r="H119" s="73"/>
      <c r="I119" s="73"/>
      <c r="J119" s="73"/>
      <c r="K119" s="73"/>
      <c r="L119" s="73"/>
      <c r="M119" s="1"/>
      <c r="P119" s="9"/>
      <c r="Q119" s="19"/>
      <c r="R119" s="19"/>
      <c r="S119" s="2"/>
      <c r="T119" s="1"/>
      <c r="V119" t="str">
        <f t="shared" ref="V119:V172" si="2">IF((S119=U119),"", CONCATENATE(S119,","))</f>
        <v/>
      </c>
    </row>
    <row r="120" spans="4:22" x14ac:dyDescent="0.25">
      <c r="E120" s="75">
        <f>0.6453*2</f>
        <v>1.2906</v>
      </c>
      <c r="F120" s="75"/>
      <c r="G120" s="75"/>
      <c r="H120" s="75"/>
      <c r="I120" s="75"/>
      <c r="J120" s="75"/>
      <c r="K120" s="75"/>
      <c r="L120" s="75"/>
      <c r="M120" s="101" t="s">
        <v>5</v>
      </c>
      <c r="N120" s="76">
        <f>(P120*Variables!C1/Variables!C3)</f>
        <v>1.2905494505494506</v>
      </c>
      <c r="O120" s="105" t="s">
        <v>5</v>
      </c>
      <c r="P120" s="76">
        <f>(IF(E120&lt;0,0,IF(E120&gt;1.8,4095,ROUND(((E120*4095)/1.8),0))))</f>
        <v>2936</v>
      </c>
      <c r="Q120" s="2" t="s">
        <v>113</v>
      </c>
      <c r="R120" s="13">
        <f>_xlfn.BITAND(P120,255)</f>
        <v>120</v>
      </c>
      <c r="S120" s="27" t="str">
        <f>IF(R120&lt;16,CONCATENATE("0x0",(DEC2HEX(R120))),CONCATENATE("0x",(DEC2HEX(R120))))</f>
        <v>0x78</v>
      </c>
      <c r="T120" s="5" t="str">
        <f>DEC2BIN(R120,8)</f>
        <v>01111000</v>
      </c>
      <c r="V120" t="str">
        <f t="shared" si="2"/>
        <v>0x78,</v>
      </c>
    </row>
    <row r="121" spans="4:22" x14ac:dyDescent="0.25">
      <c r="D121" t="s">
        <v>209</v>
      </c>
      <c r="E121" s="75"/>
      <c r="F121" s="75"/>
      <c r="G121" s="75"/>
      <c r="H121" s="75"/>
      <c r="I121" s="75"/>
      <c r="J121" s="75"/>
      <c r="K121" s="75"/>
      <c r="L121" s="75"/>
      <c r="M121" s="101"/>
      <c r="N121" s="76"/>
      <c r="O121" s="105"/>
      <c r="P121" s="76"/>
      <c r="Q121" s="2"/>
      <c r="R121" s="1"/>
      <c r="S121" s="6"/>
      <c r="T121" s="1"/>
      <c r="V121" t="str">
        <f t="shared" si="2"/>
        <v/>
      </c>
    </row>
    <row r="122" spans="4:22" x14ac:dyDescent="0.25">
      <c r="E122" s="75"/>
      <c r="F122" s="75"/>
      <c r="G122" s="75"/>
      <c r="H122" s="75"/>
      <c r="I122" s="75"/>
      <c r="J122" s="75"/>
      <c r="K122" s="75"/>
      <c r="L122" s="75"/>
      <c r="M122" s="101"/>
      <c r="N122" s="76"/>
      <c r="O122" s="105"/>
      <c r="P122" s="76"/>
      <c r="Q122" s="2" t="s">
        <v>114</v>
      </c>
      <c r="R122" s="13">
        <f>((_xlfn.BITAND(P120,3840))/(2^8))</f>
        <v>11</v>
      </c>
      <c r="S122" s="27" t="str">
        <f>IF(R122&lt;16,CONCATENATE("0x0",(DEC2HEX(R122))),CONCATENATE("0x",(DEC2HEX(R122))))</f>
        <v>0x0B</v>
      </c>
      <c r="T122" s="5" t="str">
        <f>DEC2BIN(R122,8)</f>
        <v>00001011</v>
      </c>
      <c r="V122" t="str">
        <f t="shared" si="2"/>
        <v>0x0B,</v>
      </c>
    </row>
    <row r="123" spans="4:22" x14ac:dyDescent="0.25">
      <c r="E123" s="73" t="s">
        <v>115</v>
      </c>
      <c r="F123" s="73"/>
      <c r="G123" s="73"/>
      <c r="H123" s="73"/>
      <c r="I123" s="73"/>
      <c r="J123" s="73"/>
      <c r="K123" s="73"/>
      <c r="L123" s="73"/>
      <c r="M123" s="1"/>
      <c r="P123" s="9"/>
      <c r="Q123" s="19"/>
      <c r="R123" s="19"/>
      <c r="S123" s="2"/>
      <c r="T123" s="1"/>
      <c r="V123" t="str">
        <f t="shared" si="2"/>
        <v/>
      </c>
    </row>
    <row r="124" spans="4:22" x14ac:dyDescent="0.25">
      <c r="E124" s="75">
        <f>0.2363*2</f>
        <v>0.47260000000000002</v>
      </c>
      <c r="F124" s="75"/>
      <c r="G124" s="75"/>
      <c r="H124" s="75"/>
      <c r="I124" s="75"/>
      <c r="J124" s="75"/>
      <c r="K124" s="75"/>
      <c r="L124" s="75"/>
      <c r="M124" s="101" t="s">
        <v>5</v>
      </c>
      <c r="N124" s="76">
        <f>(P124*Variables!C1/Variables!C3)</f>
        <v>0.47252747252747251</v>
      </c>
      <c r="O124" s="105" t="s">
        <v>5</v>
      </c>
      <c r="P124" s="76">
        <f>(IF(E124&lt;0,0,IF(E124&gt;1.8,4095,ROUND(((E124*4095)/1.8),0))))</f>
        <v>1075</v>
      </c>
      <c r="Q124" s="2" t="s">
        <v>116</v>
      </c>
      <c r="R124" s="13">
        <f>_xlfn.BITAND(P124,255)</f>
        <v>51</v>
      </c>
      <c r="S124" s="27" t="str">
        <f>IF(R124&lt;16,CONCATENATE("0x0",(DEC2HEX(R124))),CONCATENATE("0x",(DEC2HEX(R124))))</f>
        <v>0x33</v>
      </c>
      <c r="T124" s="5" t="str">
        <f>DEC2BIN(R124,8)</f>
        <v>00110011</v>
      </c>
      <c r="V124" t="str">
        <f t="shared" si="2"/>
        <v>0x33,</v>
      </c>
    </row>
    <row r="125" spans="4:22" x14ac:dyDescent="0.25">
      <c r="D125" t="s">
        <v>206</v>
      </c>
      <c r="E125" s="75"/>
      <c r="F125" s="75"/>
      <c r="G125" s="75"/>
      <c r="H125" s="75"/>
      <c r="I125" s="75"/>
      <c r="J125" s="75"/>
      <c r="K125" s="75"/>
      <c r="L125" s="75"/>
      <c r="M125" s="101"/>
      <c r="N125" s="76"/>
      <c r="O125" s="105"/>
      <c r="P125" s="76"/>
      <c r="Q125" s="2"/>
      <c r="R125" s="1"/>
      <c r="S125" s="6"/>
      <c r="T125" s="1"/>
      <c r="V125" t="str">
        <f t="shared" si="2"/>
        <v/>
      </c>
    </row>
    <row r="126" spans="4:22" x14ac:dyDescent="0.25">
      <c r="E126" s="75"/>
      <c r="F126" s="75"/>
      <c r="G126" s="75"/>
      <c r="H126" s="75"/>
      <c r="I126" s="75"/>
      <c r="J126" s="75"/>
      <c r="K126" s="75"/>
      <c r="L126" s="75"/>
      <c r="M126" s="101"/>
      <c r="N126" s="76"/>
      <c r="O126" s="105"/>
      <c r="P126" s="76"/>
      <c r="Q126" s="2" t="s">
        <v>117</v>
      </c>
      <c r="R126" s="13">
        <f>((_xlfn.BITAND(P124,3840))/(2^8))</f>
        <v>4</v>
      </c>
      <c r="S126" s="27" t="str">
        <f>IF(R126&lt;16,CONCATENATE("0x0",(DEC2HEX(R126))),CONCATENATE("0x",(DEC2HEX(R126))))</f>
        <v>0x04</v>
      </c>
      <c r="T126" s="5" t="str">
        <f>DEC2BIN(R126,8)</f>
        <v>00000100</v>
      </c>
      <c r="V126" t="str">
        <f t="shared" si="2"/>
        <v>0x04,</v>
      </c>
    </row>
    <row r="127" spans="4:22" x14ac:dyDescent="0.25">
      <c r="E127" s="73" t="s">
        <v>118</v>
      </c>
      <c r="F127" s="73"/>
      <c r="G127" s="73"/>
      <c r="H127" s="73"/>
      <c r="I127" s="73"/>
      <c r="J127" s="73"/>
      <c r="K127" s="73"/>
      <c r="L127" s="73"/>
      <c r="M127" s="1"/>
      <c r="P127" s="9"/>
      <c r="Q127" s="19"/>
      <c r="R127" s="19"/>
      <c r="S127" s="2"/>
      <c r="T127" s="1"/>
      <c r="V127" t="str">
        <f t="shared" si="2"/>
        <v/>
      </c>
    </row>
    <row r="128" spans="4:22" x14ac:dyDescent="0.25">
      <c r="E128" s="75">
        <f>0.2683*2</f>
        <v>0.53659999999999997</v>
      </c>
      <c r="F128" s="75"/>
      <c r="G128" s="75"/>
      <c r="H128" s="75"/>
      <c r="I128" s="75"/>
      <c r="J128" s="75"/>
      <c r="K128" s="75"/>
      <c r="L128" s="75"/>
      <c r="M128" s="101" t="s">
        <v>5</v>
      </c>
      <c r="N128" s="76">
        <f>(P128*Variables!C1/Variables!C3)</f>
        <v>0.53670329670329675</v>
      </c>
      <c r="O128" s="105" t="s">
        <v>5</v>
      </c>
      <c r="P128" s="76">
        <f>(IF(E128&lt;0,0,IF(E128&gt;1.8,4095,ROUND(((E128*4095)/1.8),0))))</f>
        <v>1221</v>
      </c>
      <c r="Q128" s="2" t="s">
        <v>119</v>
      </c>
      <c r="R128" s="13">
        <f>_xlfn.BITAND(P128,255)</f>
        <v>197</v>
      </c>
      <c r="S128" s="27" t="str">
        <f>IF(R128&lt;16,CONCATENATE("0x0",(DEC2HEX(R128))),CONCATENATE("0x",(DEC2HEX(R128))))</f>
        <v>0xC5</v>
      </c>
      <c r="T128" s="5" t="str">
        <f>DEC2BIN(R128,8)</f>
        <v>11000101</v>
      </c>
      <c r="V128" t="str">
        <f t="shared" si="2"/>
        <v>0xC5,</v>
      </c>
    </row>
    <row r="129" spans="4:22" x14ac:dyDescent="0.25">
      <c r="D129" t="s">
        <v>207</v>
      </c>
      <c r="E129" s="75"/>
      <c r="F129" s="75"/>
      <c r="G129" s="75"/>
      <c r="H129" s="75"/>
      <c r="I129" s="75"/>
      <c r="J129" s="75"/>
      <c r="K129" s="75"/>
      <c r="L129" s="75"/>
      <c r="M129" s="101"/>
      <c r="N129" s="76"/>
      <c r="O129" s="105"/>
      <c r="P129" s="76"/>
      <c r="Q129" s="2"/>
      <c r="R129" s="1"/>
      <c r="S129" s="6"/>
      <c r="T129" s="1"/>
      <c r="V129" t="str">
        <f t="shared" si="2"/>
        <v/>
      </c>
    </row>
    <row r="130" spans="4:22" x14ac:dyDescent="0.25">
      <c r="E130" s="75"/>
      <c r="F130" s="75"/>
      <c r="G130" s="75"/>
      <c r="H130" s="75"/>
      <c r="I130" s="75"/>
      <c r="J130" s="75"/>
      <c r="K130" s="75"/>
      <c r="L130" s="75"/>
      <c r="M130" s="101"/>
      <c r="N130" s="76"/>
      <c r="O130" s="105"/>
      <c r="P130" s="76"/>
      <c r="Q130" s="2" t="s">
        <v>120</v>
      </c>
      <c r="R130" s="13">
        <f>((_xlfn.BITAND(P128,3840))/(2^8))</f>
        <v>4</v>
      </c>
      <c r="S130" s="27" t="str">
        <f>IF(R130&lt;16,CONCATENATE("0x0",(DEC2HEX(R130))),CONCATENATE("0x",(DEC2HEX(R130))))</f>
        <v>0x04</v>
      </c>
      <c r="T130" s="5" t="str">
        <f>DEC2BIN(R130,8)</f>
        <v>00000100</v>
      </c>
      <c r="V130" t="str">
        <f t="shared" si="2"/>
        <v>0x04,</v>
      </c>
    </row>
    <row r="131" spans="4:22" x14ac:dyDescent="0.25">
      <c r="E131" s="73" t="s">
        <v>123</v>
      </c>
      <c r="F131" s="73"/>
      <c r="G131" s="73"/>
      <c r="H131" s="73"/>
      <c r="I131" s="73"/>
      <c r="J131" s="73"/>
      <c r="K131" s="73"/>
      <c r="L131" s="73"/>
      <c r="M131" s="1"/>
      <c r="P131" s="9"/>
      <c r="Q131" s="19"/>
      <c r="R131" s="19"/>
      <c r="S131" s="2"/>
      <c r="T131" s="1"/>
      <c r="V131" t="str">
        <f t="shared" si="2"/>
        <v/>
      </c>
    </row>
    <row r="132" spans="4:22" x14ac:dyDescent="0.25">
      <c r="E132" s="75">
        <f>0.6564*2</f>
        <v>1.3128</v>
      </c>
      <c r="F132" s="75"/>
      <c r="G132" s="75"/>
      <c r="H132" s="75"/>
      <c r="I132" s="75"/>
      <c r="J132" s="75"/>
      <c r="K132" s="75"/>
      <c r="L132" s="75"/>
      <c r="M132" s="101" t="s">
        <v>5</v>
      </c>
      <c r="N132" s="76">
        <f>(P132*Variables!C1/Variables!C3)</f>
        <v>1.3129670329670331</v>
      </c>
      <c r="O132" s="105" t="s">
        <v>5</v>
      </c>
      <c r="P132" s="76">
        <f>(IF(E132&lt;0,0,IF(E132&gt;1.8,4095,ROUND(((E132*4095)/1.8),0))))</f>
        <v>2987</v>
      </c>
      <c r="Q132" s="2" t="s">
        <v>121</v>
      </c>
      <c r="R132" s="13">
        <f>_xlfn.BITAND(P132,255)</f>
        <v>171</v>
      </c>
      <c r="S132" s="27" t="str">
        <f>IF(R132&lt;16,CONCATENATE("0x0",(DEC2HEX(R132))),CONCATENATE("0x",(DEC2HEX(R132))))</f>
        <v>0xAB</v>
      </c>
      <c r="T132" s="5" t="str">
        <f>DEC2BIN(R132,8)</f>
        <v>10101011</v>
      </c>
      <c r="V132" t="str">
        <f t="shared" si="2"/>
        <v>0xAB,</v>
      </c>
    </row>
    <row r="133" spans="4:22" x14ac:dyDescent="0.25">
      <c r="D133" t="s">
        <v>208</v>
      </c>
      <c r="E133" s="75"/>
      <c r="F133" s="75"/>
      <c r="G133" s="75"/>
      <c r="H133" s="75"/>
      <c r="I133" s="75"/>
      <c r="J133" s="75"/>
      <c r="K133" s="75"/>
      <c r="L133" s="75"/>
      <c r="M133" s="101"/>
      <c r="N133" s="76"/>
      <c r="O133" s="105"/>
      <c r="P133" s="76"/>
      <c r="Q133" s="2"/>
      <c r="R133" s="1"/>
      <c r="S133" s="6"/>
      <c r="T133" s="1"/>
      <c r="V133" t="str">
        <f t="shared" si="2"/>
        <v/>
      </c>
    </row>
    <row r="134" spans="4:22" x14ac:dyDescent="0.25">
      <c r="E134" s="75"/>
      <c r="F134" s="75"/>
      <c r="G134" s="75"/>
      <c r="H134" s="75"/>
      <c r="I134" s="75"/>
      <c r="J134" s="75"/>
      <c r="K134" s="75"/>
      <c r="L134" s="75"/>
      <c r="M134" s="101"/>
      <c r="N134" s="76"/>
      <c r="O134" s="105"/>
      <c r="P134" s="76"/>
      <c r="Q134" s="2" t="s">
        <v>122</v>
      </c>
      <c r="R134" s="13">
        <f>((_xlfn.BITAND(P132,3840))/(2^8))</f>
        <v>11</v>
      </c>
      <c r="S134" s="27" t="str">
        <f>IF(R134&lt;16,CONCATENATE("0x0",(DEC2HEX(R134))),CONCATENATE("0x",(DEC2HEX(R134))))</f>
        <v>0x0B</v>
      </c>
      <c r="T134" s="5" t="str">
        <f>DEC2BIN(R134,8)</f>
        <v>00001011</v>
      </c>
      <c r="V134" t="str">
        <f t="shared" si="2"/>
        <v>0x0B,</v>
      </c>
    </row>
    <row r="135" spans="4:22" x14ac:dyDescent="0.25">
      <c r="E135" s="73" t="s">
        <v>124</v>
      </c>
      <c r="F135" s="73"/>
      <c r="G135" s="73"/>
      <c r="H135" s="73"/>
      <c r="I135" s="73"/>
      <c r="J135" s="73"/>
      <c r="K135" s="73"/>
      <c r="L135" s="73"/>
      <c r="M135" s="1"/>
      <c r="P135" s="9"/>
      <c r="Q135" s="19"/>
      <c r="R135" s="19"/>
      <c r="S135" s="2"/>
      <c r="T135" s="1"/>
      <c r="V135" t="str">
        <f t="shared" si="2"/>
        <v/>
      </c>
    </row>
    <row r="136" spans="4:22" x14ac:dyDescent="0.25">
      <c r="E136" s="75">
        <f>0.6453*2</f>
        <v>1.2906</v>
      </c>
      <c r="F136" s="75"/>
      <c r="G136" s="75"/>
      <c r="H136" s="75"/>
      <c r="I136" s="75"/>
      <c r="J136" s="75"/>
      <c r="K136" s="75"/>
      <c r="L136" s="75"/>
      <c r="M136" s="101" t="s">
        <v>5</v>
      </c>
      <c r="N136" s="76">
        <f>(P136*Variables!C1/Variables!C3)</f>
        <v>1.2905494505494506</v>
      </c>
      <c r="O136" s="105" t="s">
        <v>5</v>
      </c>
      <c r="P136" s="76">
        <f>(IF(E136&lt;0,0,IF(E136&gt;1.8,4095,ROUND(((E136*4095)/1.8),0))))</f>
        <v>2936</v>
      </c>
      <c r="Q136" s="2" t="s">
        <v>125</v>
      </c>
      <c r="R136" s="13">
        <f>_xlfn.BITAND(P136,255)</f>
        <v>120</v>
      </c>
      <c r="S136" s="27" t="str">
        <f>IF(R136&lt;16,CONCATENATE("0x0",(DEC2HEX(R136))),CONCATENATE("0x",(DEC2HEX(R136))))</f>
        <v>0x78</v>
      </c>
      <c r="T136" s="5" t="str">
        <f>DEC2BIN(R136,8)</f>
        <v>01111000</v>
      </c>
      <c r="V136" t="str">
        <f t="shared" si="2"/>
        <v>0x78,</v>
      </c>
    </row>
    <row r="137" spans="4:22" x14ac:dyDescent="0.25">
      <c r="D137" t="s">
        <v>209</v>
      </c>
      <c r="E137" s="75"/>
      <c r="F137" s="75"/>
      <c r="G137" s="75"/>
      <c r="H137" s="75"/>
      <c r="I137" s="75"/>
      <c r="J137" s="75"/>
      <c r="K137" s="75"/>
      <c r="L137" s="75"/>
      <c r="M137" s="101"/>
      <c r="N137" s="76"/>
      <c r="O137" s="105"/>
      <c r="P137" s="76"/>
      <c r="Q137" s="2"/>
      <c r="R137" s="1"/>
      <c r="S137" s="6"/>
      <c r="T137" s="1"/>
      <c r="V137" t="str">
        <f t="shared" si="2"/>
        <v/>
      </c>
    </row>
    <row r="138" spans="4:22" x14ac:dyDescent="0.25">
      <c r="E138" s="75"/>
      <c r="F138" s="75"/>
      <c r="G138" s="75"/>
      <c r="H138" s="75"/>
      <c r="I138" s="75"/>
      <c r="J138" s="75"/>
      <c r="K138" s="75"/>
      <c r="L138" s="75"/>
      <c r="M138" s="101"/>
      <c r="N138" s="76"/>
      <c r="O138" s="105"/>
      <c r="P138" s="76"/>
      <c r="Q138" s="2" t="s">
        <v>126</v>
      </c>
      <c r="R138" s="13">
        <f>((_xlfn.BITAND(P136,3840))/(2^8))</f>
        <v>11</v>
      </c>
      <c r="S138" s="27" t="str">
        <f>IF(R138&lt;16,CONCATENATE("0x0",(DEC2HEX(R138))),CONCATENATE("0x",(DEC2HEX(R138))))</f>
        <v>0x0B</v>
      </c>
      <c r="T138" s="5" t="str">
        <f>DEC2BIN(R138,8)</f>
        <v>00001011</v>
      </c>
      <c r="V138" t="str">
        <f t="shared" si="2"/>
        <v>0x0B,</v>
      </c>
    </row>
    <row r="139" spans="4:22" x14ac:dyDescent="0.25">
      <c r="E139" s="73" t="s">
        <v>127</v>
      </c>
      <c r="F139" s="73"/>
      <c r="G139" s="73"/>
      <c r="H139" s="73"/>
      <c r="I139" s="73"/>
      <c r="J139" s="73"/>
      <c r="K139" s="73"/>
      <c r="L139" s="73"/>
      <c r="M139" s="1"/>
      <c r="P139" s="9"/>
      <c r="Q139" s="19"/>
      <c r="R139" s="19"/>
      <c r="S139" s="2"/>
      <c r="T139" s="1"/>
      <c r="V139" t="str">
        <f t="shared" si="2"/>
        <v/>
      </c>
    </row>
    <row r="140" spans="4:22" x14ac:dyDescent="0.25">
      <c r="E140" s="59">
        <v>0.71912100000000001</v>
      </c>
      <c r="F140" s="60"/>
      <c r="G140" s="60"/>
      <c r="H140" s="60"/>
      <c r="I140" s="60"/>
      <c r="J140" s="60"/>
      <c r="K140" s="60"/>
      <c r="L140" s="61"/>
      <c r="M140" s="101" t="s">
        <v>5</v>
      </c>
      <c r="N140" s="76">
        <f>(P140*Variables!C1/Variables!C3)</f>
        <v>0.71912087912087919</v>
      </c>
      <c r="O140" s="105" t="s">
        <v>5</v>
      </c>
      <c r="P140" s="76">
        <f>(IF(E140&lt;0,0,IF(E140&gt;1.8,4095,ROUND(((E140*4095)/1.8),0))))</f>
        <v>1636</v>
      </c>
      <c r="Q140" s="2" t="s">
        <v>128</v>
      </c>
      <c r="R140" s="13">
        <f>_xlfn.BITAND(P140,255)</f>
        <v>100</v>
      </c>
      <c r="S140" s="27" t="str">
        <f>IF(R140&lt;16,CONCATENATE("0x0",(DEC2HEX(R140))),CONCATENATE("0x",(DEC2HEX(R140))))</f>
        <v>0x64</v>
      </c>
      <c r="T140" s="5" t="str">
        <f>DEC2BIN(R140,8)</f>
        <v>01100100</v>
      </c>
      <c r="V140" t="str">
        <f t="shared" si="2"/>
        <v>0x64,</v>
      </c>
    </row>
    <row r="141" spans="4:22" x14ac:dyDescent="0.25">
      <c r="E141" s="83"/>
      <c r="F141" s="84"/>
      <c r="G141" s="84"/>
      <c r="H141" s="84"/>
      <c r="I141" s="84"/>
      <c r="J141" s="84"/>
      <c r="K141" s="84"/>
      <c r="L141" s="85"/>
      <c r="M141" s="101"/>
      <c r="N141" s="76"/>
      <c r="O141" s="105"/>
      <c r="P141" s="76"/>
      <c r="Q141" s="2"/>
      <c r="R141" s="1"/>
      <c r="S141" s="6"/>
      <c r="T141" s="1"/>
      <c r="V141" t="str">
        <f t="shared" si="2"/>
        <v/>
      </c>
    </row>
    <row r="142" spans="4:22" x14ac:dyDescent="0.25">
      <c r="E142" s="62"/>
      <c r="F142" s="63"/>
      <c r="G142" s="63"/>
      <c r="H142" s="63"/>
      <c r="I142" s="63"/>
      <c r="J142" s="63"/>
      <c r="K142" s="63"/>
      <c r="L142" s="64"/>
      <c r="M142" s="101"/>
      <c r="N142" s="76"/>
      <c r="O142" s="105"/>
      <c r="P142" s="76"/>
      <c r="Q142" s="2" t="s">
        <v>129</v>
      </c>
      <c r="R142" s="13">
        <f>((_xlfn.BITAND(P140,3840))/(2^8))</f>
        <v>6</v>
      </c>
      <c r="S142" s="27" t="str">
        <f>IF(R142&lt;16,CONCATENATE("0x0",(DEC2HEX(R142))),CONCATENATE("0x",(DEC2HEX(R142))))</f>
        <v>0x06</v>
      </c>
      <c r="T142" s="5" t="str">
        <f>DEC2BIN(R142,8)</f>
        <v>00000110</v>
      </c>
      <c r="V142" t="str">
        <f t="shared" si="2"/>
        <v>0x06,</v>
      </c>
    </row>
    <row r="143" spans="4:22" x14ac:dyDescent="0.25">
      <c r="E143" s="73" t="s">
        <v>130</v>
      </c>
      <c r="F143" s="73"/>
      <c r="G143" s="73"/>
      <c r="H143" s="73"/>
      <c r="I143" s="73"/>
      <c r="J143" s="73"/>
      <c r="K143" s="73"/>
      <c r="L143" s="73"/>
      <c r="M143" s="1"/>
      <c r="P143" s="9"/>
      <c r="Q143" s="19"/>
      <c r="R143" s="19"/>
      <c r="S143" s="2"/>
      <c r="T143" s="1"/>
      <c r="V143" t="str">
        <f t="shared" si="2"/>
        <v/>
      </c>
    </row>
    <row r="144" spans="4:22" x14ac:dyDescent="0.25">
      <c r="E144" s="75">
        <v>0.68219799999999997</v>
      </c>
      <c r="F144" s="75"/>
      <c r="G144" s="75"/>
      <c r="H144" s="75"/>
      <c r="I144" s="75"/>
      <c r="J144" s="75"/>
      <c r="K144" s="75"/>
      <c r="L144" s="75"/>
      <c r="M144" s="101" t="s">
        <v>5</v>
      </c>
      <c r="N144" s="76">
        <f>(P144*Variables!C1/Variables!C3)</f>
        <v>0.68219780219780213</v>
      </c>
      <c r="O144" s="105" t="s">
        <v>5</v>
      </c>
      <c r="P144" s="76">
        <f>(IF(E144&lt;0,0,IF(E144&gt;1.8,4095,ROUND(((E144*4095)/1.8),0))))</f>
        <v>1552</v>
      </c>
      <c r="Q144" s="2" t="s">
        <v>131</v>
      </c>
      <c r="R144" s="13">
        <f>_xlfn.BITAND(P144,255)</f>
        <v>16</v>
      </c>
      <c r="S144" s="27" t="str">
        <f>IF(R144&lt;16,CONCATENATE("0x0",(DEC2HEX(R144))),CONCATENATE("0x",(DEC2HEX(R144))))</f>
        <v>0x10</v>
      </c>
      <c r="T144" s="5" t="str">
        <f>DEC2BIN(R144,8)</f>
        <v>00010000</v>
      </c>
      <c r="V144" t="str">
        <f t="shared" si="2"/>
        <v>0x10,</v>
      </c>
    </row>
    <row r="145" spans="2:22" x14ac:dyDescent="0.25">
      <c r="E145" s="75"/>
      <c r="F145" s="75"/>
      <c r="G145" s="75"/>
      <c r="H145" s="75"/>
      <c r="I145" s="75"/>
      <c r="J145" s="75"/>
      <c r="K145" s="75"/>
      <c r="L145" s="75"/>
      <c r="M145" s="101"/>
      <c r="N145" s="76"/>
      <c r="O145" s="105"/>
      <c r="P145" s="76"/>
      <c r="Q145" s="2"/>
      <c r="R145" s="1"/>
      <c r="S145" s="6"/>
      <c r="T145" s="1"/>
      <c r="V145" t="str">
        <f t="shared" si="2"/>
        <v/>
      </c>
    </row>
    <row r="146" spans="2:22" x14ac:dyDescent="0.25">
      <c r="E146" s="75"/>
      <c r="F146" s="75"/>
      <c r="G146" s="75"/>
      <c r="H146" s="75"/>
      <c r="I146" s="75"/>
      <c r="J146" s="75"/>
      <c r="K146" s="75"/>
      <c r="L146" s="75"/>
      <c r="M146" s="101"/>
      <c r="N146" s="76"/>
      <c r="O146" s="105"/>
      <c r="P146" s="76"/>
      <c r="Q146" s="2" t="s">
        <v>132</v>
      </c>
      <c r="R146" s="13">
        <f>((_xlfn.BITAND(P144,3840))/(2^8))</f>
        <v>6</v>
      </c>
      <c r="S146" s="27" t="str">
        <f>IF(R146&lt;16,CONCATENATE("0x0",(DEC2HEX(R146))),CONCATENATE("0x",(DEC2HEX(R146))))</f>
        <v>0x06</v>
      </c>
      <c r="T146" s="5" t="str">
        <f>DEC2BIN(R146,8)</f>
        <v>00000110</v>
      </c>
      <c r="V146" t="str">
        <f t="shared" si="2"/>
        <v>0x06,</v>
      </c>
    </row>
    <row r="147" spans="2:22" x14ac:dyDescent="0.25">
      <c r="E147" s="57" t="s">
        <v>135</v>
      </c>
      <c r="F147" s="57"/>
      <c r="G147" s="57"/>
      <c r="H147" s="57"/>
      <c r="I147" s="57"/>
      <c r="J147" s="57"/>
      <c r="K147" s="57"/>
      <c r="L147" s="57"/>
      <c r="M147" s="1"/>
      <c r="P147" s="1"/>
      <c r="Q147" s="2"/>
      <c r="R147" s="2"/>
      <c r="S147" s="2"/>
      <c r="T147" s="1"/>
      <c r="V147" t="str">
        <f t="shared" si="2"/>
        <v/>
      </c>
    </row>
    <row r="148" spans="2:22" x14ac:dyDescent="0.25">
      <c r="E148" s="75">
        <v>2.5</v>
      </c>
      <c r="F148" s="75"/>
      <c r="G148" s="75"/>
      <c r="H148" s="75"/>
      <c r="I148" s="75"/>
      <c r="J148" s="75"/>
      <c r="K148" s="75"/>
      <c r="L148" s="75"/>
      <c r="M148" s="101" t="s">
        <v>5</v>
      </c>
      <c r="N148" s="76">
        <f>(P148*Variables!C1/Variables!C3)*Variables!C2</f>
        <v>2.5002197802197834</v>
      </c>
      <c r="O148" s="73" t="s">
        <v>5</v>
      </c>
      <c r="P148" s="76">
        <f>(IF(E148&lt;0,0,IF(E148&gt;4.8,4095,ROUND((E148/Variables!F3),0))))</f>
        <v>2133</v>
      </c>
      <c r="Q148" s="20" t="s">
        <v>133</v>
      </c>
      <c r="R148" s="13">
        <f>_xlfn.BITAND(P148,255)</f>
        <v>85</v>
      </c>
      <c r="S148" s="13" t="str">
        <f>IF(R148&lt;16,CONCATENATE("0x0",(DEC2HEX(R148))),CONCATENATE("0x",(DEC2HEX(R148))))</f>
        <v>0x55</v>
      </c>
      <c r="T148" s="5" t="str">
        <f>DEC2BIN(R148,8)</f>
        <v>01010101</v>
      </c>
      <c r="V148" t="str">
        <f t="shared" si="2"/>
        <v>0x55,</v>
      </c>
    </row>
    <row r="149" spans="2:22" x14ac:dyDescent="0.25">
      <c r="E149" s="75"/>
      <c r="F149" s="75"/>
      <c r="G149" s="75"/>
      <c r="H149" s="75"/>
      <c r="I149" s="75"/>
      <c r="J149" s="75"/>
      <c r="K149" s="75"/>
      <c r="L149" s="75"/>
      <c r="M149" s="101"/>
      <c r="N149" s="76"/>
      <c r="O149" s="73"/>
      <c r="P149" s="76"/>
      <c r="Q149" s="2"/>
      <c r="R149" s="2"/>
      <c r="S149" s="2"/>
      <c r="T149" s="1"/>
      <c r="V149" t="str">
        <f t="shared" si="2"/>
        <v/>
      </c>
    </row>
    <row r="150" spans="2:22" x14ac:dyDescent="0.25">
      <c r="E150" s="75"/>
      <c r="F150" s="75"/>
      <c r="G150" s="75"/>
      <c r="H150" s="75"/>
      <c r="I150" s="75"/>
      <c r="J150" s="75"/>
      <c r="K150" s="75"/>
      <c r="L150" s="75"/>
      <c r="M150" s="101"/>
      <c r="N150" s="76"/>
      <c r="O150" s="73"/>
      <c r="P150" s="76"/>
      <c r="Q150" s="2" t="s">
        <v>134</v>
      </c>
      <c r="R150" s="13">
        <f>((_xlfn.BITAND(P148,3840))/(2^8))</f>
        <v>8</v>
      </c>
      <c r="S150" s="13" t="str">
        <f>IF(R150&lt;16,CONCATENATE("0x0",(DEC2HEX(R150))),CONCATENATE("0x",(DEC2HEX(R150))))</f>
        <v>0x08</v>
      </c>
      <c r="T150" s="5" t="str">
        <f>DEC2BIN(R150,8)</f>
        <v>00001000</v>
      </c>
      <c r="V150" t="str">
        <f t="shared" si="2"/>
        <v>0x08,</v>
      </c>
    </row>
    <row r="151" spans="2:22" x14ac:dyDescent="0.25">
      <c r="E151" s="57" t="s">
        <v>136</v>
      </c>
      <c r="F151" s="57"/>
      <c r="G151" s="57"/>
      <c r="H151" s="57"/>
      <c r="I151" s="57"/>
      <c r="J151" s="57"/>
      <c r="K151" s="57"/>
      <c r="L151" s="57"/>
      <c r="M151" s="11"/>
      <c r="P151" s="11"/>
      <c r="Q151" s="24"/>
      <c r="R151" s="2"/>
      <c r="S151" s="2"/>
      <c r="T151" s="1"/>
      <c r="V151" t="str">
        <f t="shared" si="2"/>
        <v/>
      </c>
    </row>
    <row r="152" spans="2:22" x14ac:dyDescent="0.25">
      <c r="B152" s="39"/>
      <c r="C152" s="39"/>
      <c r="E152" s="72">
        <v>2</v>
      </c>
      <c r="F152" s="72"/>
      <c r="G152" s="72"/>
      <c r="H152" s="72"/>
      <c r="I152" s="72"/>
      <c r="J152" s="72"/>
      <c r="K152" s="72"/>
      <c r="L152" s="72"/>
      <c r="M152" s="16"/>
      <c r="N152" s="22">
        <f>IF(E152&lt;0, "0", IF(E152 &gt; 1024, "1024",ROUND(E152,0)))</f>
        <v>2</v>
      </c>
      <c r="O152" s="22" t="str">
        <f>N155</f>
        <v>min</v>
      </c>
      <c r="P152" s="22">
        <f>N152</f>
        <v>2</v>
      </c>
      <c r="Q152" s="2"/>
      <c r="R152" s="2"/>
      <c r="S152" s="2"/>
      <c r="T152" s="1"/>
      <c r="V152" t="str">
        <f t="shared" si="2"/>
        <v/>
      </c>
    </row>
    <row r="153" spans="2:22" x14ac:dyDescent="0.25">
      <c r="E153" s="86" t="s">
        <v>137</v>
      </c>
      <c r="F153" s="87"/>
      <c r="G153" s="87"/>
      <c r="H153" s="87"/>
      <c r="I153" s="87"/>
      <c r="J153" s="87"/>
      <c r="K153" s="87"/>
      <c r="L153" s="88"/>
      <c r="M153" s="11"/>
      <c r="P153" s="11"/>
      <c r="Q153" s="2" t="s">
        <v>140</v>
      </c>
      <c r="R153" s="13">
        <f>_xlfn.BITAND(P152,255)</f>
        <v>2</v>
      </c>
      <c r="S153" s="13" t="str">
        <f>IF(R153&lt;16,CONCATENATE("0x0",(DEC2HEX(R153))),CONCATENATE("0x",(DEC2HEX(R153))))</f>
        <v>0x02</v>
      </c>
      <c r="T153" s="5" t="str">
        <f>DEC2BIN(R153,8)</f>
        <v>00000010</v>
      </c>
      <c r="V153" t="str">
        <f t="shared" si="2"/>
        <v>0x02,</v>
      </c>
    </row>
    <row r="154" spans="2:22" x14ac:dyDescent="0.25">
      <c r="E154" s="86" t="s">
        <v>138</v>
      </c>
      <c r="F154" s="87"/>
      <c r="G154" s="87"/>
      <c r="H154" s="88"/>
      <c r="I154" s="86" t="s">
        <v>139</v>
      </c>
      <c r="J154" s="87"/>
      <c r="K154" s="87"/>
      <c r="L154" s="88"/>
      <c r="M154" s="11"/>
      <c r="P154" s="11"/>
      <c r="Q154" s="2"/>
      <c r="R154" s="2"/>
      <c r="S154" s="2"/>
      <c r="T154" s="1"/>
      <c r="V154" t="str">
        <f t="shared" si="2"/>
        <v/>
      </c>
    </row>
    <row r="155" spans="2:22" x14ac:dyDescent="0.25">
      <c r="E155" s="75">
        <v>1</v>
      </c>
      <c r="F155" s="75"/>
      <c r="G155" s="75"/>
      <c r="H155" s="75"/>
      <c r="I155" s="75">
        <v>1</v>
      </c>
      <c r="J155" s="75"/>
      <c r="K155" s="75"/>
      <c r="L155" s="75"/>
      <c r="M155" s="16"/>
      <c r="N155" s="22" t="str">
        <f>IF(((E155*2 +I155) = 3),"min",IF((E155*2+I155 = 2), "s",IF((E155*2+I155=1),"ms","us")))</f>
        <v>min</v>
      </c>
      <c r="O155" s="16"/>
      <c r="P155" s="22">
        <f>IF(N155="min",3,IF(N155="s",2,IF(N155="ms",1,0)))</f>
        <v>3</v>
      </c>
      <c r="Q155" s="16"/>
      <c r="R155" s="16"/>
      <c r="S155" s="16"/>
      <c r="T155" s="1"/>
      <c r="V155" t="str">
        <f t="shared" si="2"/>
        <v/>
      </c>
    </row>
    <row r="156" spans="2:22" x14ac:dyDescent="0.25">
      <c r="E156" s="57" t="s">
        <v>141</v>
      </c>
      <c r="F156" s="57"/>
      <c r="G156" s="57"/>
      <c r="H156" s="57"/>
      <c r="I156" s="57"/>
      <c r="J156" s="57"/>
      <c r="K156" s="57"/>
      <c r="L156" s="57"/>
      <c r="M156" s="10"/>
      <c r="P156" s="10"/>
      <c r="Q156" s="19" t="s">
        <v>142</v>
      </c>
      <c r="R156" s="32">
        <f>(P157*8)+(P155*2)+((_xlfn.BITAND(P152,256))/(2^8))</f>
        <v>30</v>
      </c>
      <c r="S156" s="32" t="str">
        <f>IF(R156&lt;16,CONCATENATE("0x0",(DEC2HEX(R156))),CONCATENATE("0x",(DEC2HEX(R156))))</f>
        <v>0x1E</v>
      </c>
      <c r="T156" s="5" t="str">
        <f>DEC2BIN(R156,8)</f>
        <v>00011110</v>
      </c>
      <c r="V156" t="str">
        <f t="shared" si="2"/>
        <v>0x1E,</v>
      </c>
    </row>
    <row r="157" spans="2:22" x14ac:dyDescent="0.25">
      <c r="E157" s="29"/>
      <c r="F157" s="29"/>
      <c r="G157" s="29"/>
      <c r="H157" s="33">
        <v>0</v>
      </c>
      <c r="I157" s="30">
        <v>0</v>
      </c>
      <c r="J157" s="30">
        <v>0</v>
      </c>
      <c r="K157" s="30">
        <v>1</v>
      </c>
      <c r="L157" s="30">
        <v>1</v>
      </c>
      <c r="M157" s="2"/>
      <c r="N157" s="22">
        <f>BIN2DEC(CONCATENATE(H157,I157,J157,K157,L157))</f>
        <v>3</v>
      </c>
      <c r="O157" s="16" t="s">
        <v>143</v>
      </c>
      <c r="P157" s="22">
        <f>N157</f>
        <v>3</v>
      </c>
      <c r="Q157" s="16"/>
      <c r="R157" s="31"/>
      <c r="S157" s="16"/>
      <c r="T157" s="16"/>
      <c r="V157" t="str">
        <f t="shared" si="2"/>
        <v/>
      </c>
    </row>
    <row r="158" spans="2:22" x14ac:dyDescent="0.25">
      <c r="E158" s="86" t="s">
        <v>184</v>
      </c>
      <c r="F158" s="87"/>
      <c r="G158" s="87"/>
      <c r="H158" s="87"/>
      <c r="I158" s="87"/>
      <c r="J158" s="87"/>
      <c r="K158" s="87"/>
      <c r="L158" s="88"/>
      <c r="M158" s="10"/>
      <c r="P158" s="10"/>
      <c r="Q158" s="25"/>
      <c r="R158" s="19"/>
      <c r="S158" s="19"/>
      <c r="T158" s="9"/>
      <c r="V158" t="str">
        <f t="shared" si="2"/>
        <v/>
      </c>
    </row>
    <row r="159" spans="2:22" x14ac:dyDescent="0.25">
      <c r="E159" s="54">
        <v>0</v>
      </c>
      <c r="F159" s="56"/>
      <c r="G159" s="54">
        <v>0</v>
      </c>
      <c r="H159" s="56"/>
      <c r="I159" s="54">
        <v>1</v>
      </c>
      <c r="J159" s="56"/>
      <c r="K159" s="54">
        <v>1</v>
      </c>
      <c r="L159" s="56"/>
      <c r="M159" s="2"/>
      <c r="N159" s="34">
        <f>BIN2DEC(CONCATENATE(E159,G159,I159,K159))</f>
        <v>3</v>
      </c>
      <c r="O159" s="2" t="s">
        <v>145</v>
      </c>
      <c r="P159" s="13">
        <f>N159</f>
        <v>3</v>
      </c>
      <c r="Q159" s="2"/>
      <c r="R159" s="2"/>
      <c r="S159" s="2"/>
      <c r="T159" s="2"/>
      <c r="V159" t="str">
        <f t="shared" si="2"/>
        <v/>
      </c>
    </row>
    <row r="160" spans="2:22" x14ac:dyDescent="0.25">
      <c r="E160" s="86" t="s">
        <v>144</v>
      </c>
      <c r="F160" s="87"/>
      <c r="G160" s="87"/>
      <c r="H160" s="87"/>
      <c r="I160" s="87"/>
      <c r="J160" s="87"/>
      <c r="K160" s="87"/>
      <c r="L160" s="88"/>
      <c r="M160" s="10"/>
      <c r="P160" s="10"/>
      <c r="Q160" s="25" t="s">
        <v>146</v>
      </c>
      <c r="R160" s="32">
        <f>(P161*16)+(P159)</f>
        <v>243</v>
      </c>
      <c r="S160" s="32" t="str">
        <f>IF(R160&lt;16,CONCATENATE("0x0",(DEC2HEX(R160))),CONCATENATE("0x",(DEC2HEX(R160))))</f>
        <v>0xF3</v>
      </c>
      <c r="T160" s="5" t="str">
        <f>DEC2BIN(R160,8)</f>
        <v>11110011</v>
      </c>
      <c r="V160" t="str">
        <f t="shared" si="2"/>
        <v>0xF3,</v>
      </c>
    </row>
    <row r="161" spans="2:22" x14ac:dyDescent="0.25">
      <c r="E161" s="54">
        <v>1</v>
      </c>
      <c r="F161" s="56"/>
      <c r="G161" s="54">
        <v>1</v>
      </c>
      <c r="H161" s="56"/>
      <c r="I161" s="54">
        <v>1</v>
      </c>
      <c r="J161" s="56"/>
      <c r="K161" s="54">
        <v>1</v>
      </c>
      <c r="L161" s="56"/>
      <c r="M161" s="2"/>
      <c r="N161" s="34">
        <f>16*(BIN2DEC(CONCATENATE(E161,G161,I161,K161)))</f>
        <v>240</v>
      </c>
      <c r="O161" s="2" t="s">
        <v>145</v>
      </c>
      <c r="P161" s="34">
        <f>BIN2DEC(CONCATENATE(E161,G161,I161,K161))</f>
        <v>15</v>
      </c>
      <c r="Q161" s="2"/>
      <c r="R161" s="2"/>
      <c r="S161" s="2"/>
      <c r="T161" s="2"/>
      <c r="V161" t="str">
        <f t="shared" si="2"/>
        <v/>
      </c>
    </row>
    <row r="162" spans="2:22" x14ac:dyDescent="0.25">
      <c r="E162" s="57" t="s">
        <v>147</v>
      </c>
      <c r="F162" s="57"/>
      <c r="G162" s="57"/>
      <c r="H162" s="57"/>
      <c r="I162" s="57"/>
      <c r="J162" s="57"/>
      <c r="K162" s="57"/>
      <c r="L162" s="57"/>
      <c r="M162" s="1"/>
      <c r="P162" s="10"/>
      <c r="Q162" s="25"/>
      <c r="R162" s="19"/>
      <c r="S162" s="2"/>
      <c r="T162" s="1"/>
      <c r="V162" t="str">
        <f t="shared" si="2"/>
        <v/>
      </c>
    </row>
    <row r="163" spans="2:22" x14ac:dyDescent="0.25">
      <c r="E163" s="72" t="s">
        <v>152</v>
      </c>
      <c r="F163" s="72"/>
      <c r="G163" s="72"/>
      <c r="H163" s="72"/>
      <c r="I163" s="72"/>
      <c r="J163" s="72"/>
      <c r="K163" s="72"/>
      <c r="L163" s="72"/>
      <c r="M163" s="16"/>
      <c r="N163" s="16"/>
      <c r="O163" s="16"/>
      <c r="P163" s="22" t="str">
        <f>IF(E163="3 Cells","131",IF(E163="4 Cells","195",IF(E163="5 Cells","199",IF(E163="6 Cells","231",IF(E163="7 Cells","239",IF(E163="8 Cells","255"))))))</f>
        <v>239</v>
      </c>
      <c r="Q163" s="16" t="s">
        <v>154</v>
      </c>
      <c r="R163" s="22" t="str">
        <f>P163</f>
        <v>239</v>
      </c>
      <c r="S163" s="13" t="str">
        <f>IF(R163&lt;16,CONCATENATE("0x0",(DEC2HEX(R163))),CONCATENATE("0x",(DEC2HEX(R163))))</f>
        <v>0xEF</v>
      </c>
      <c r="T163" s="5" t="str">
        <f>DEC2BIN(R163,8)</f>
        <v>11101111</v>
      </c>
      <c r="V163" t="str">
        <f t="shared" si="2"/>
        <v>0xEF,</v>
      </c>
    </row>
    <row r="164" spans="2:22" x14ac:dyDescent="0.25">
      <c r="E164" s="2" t="s">
        <v>155</v>
      </c>
      <c r="F164" s="2" t="s">
        <v>156</v>
      </c>
      <c r="G164" s="2" t="s">
        <v>157</v>
      </c>
      <c r="H164" s="2" t="s">
        <v>158</v>
      </c>
      <c r="I164" s="2" t="s">
        <v>159</v>
      </c>
      <c r="J164" s="2" t="s">
        <v>160</v>
      </c>
      <c r="K164" s="2" t="s">
        <v>161</v>
      </c>
      <c r="L164" s="2" t="s">
        <v>162</v>
      </c>
      <c r="M164" s="1"/>
      <c r="P164" s="1"/>
      <c r="Q164" s="2"/>
      <c r="R164" s="2"/>
      <c r="S164" s="2"/>
      <c r="T164" s="1"/>
      <c r="V164" t="str">
        <f t="shared" si="2"/>
        <v/>
      </c>
    </row>
    <row r="165" spans="2:22" x14ac:dyDescent="0.25">
      <c r="E165" s="13" t="s">
        <v>163</v>
      </c>
      <c r="F165" s="13" t="str">
        <f>IF(E163 = "3 Cells", "Disabled", "Enabled")</f>
        <v>Enabled</v>
      </c>
      <c r="G165" s="13" t="str">
        <f>IF(OR(E163 = "3 Cells",  E163 = "4 Cells", E163="5 Cells"), "Disabled", "Enabled")</f>
        <v>Enabled</v>
      </c>
      <c r="H165" s="13" t="str">
        <f>IF(OR(E163 = "3 Cells",  E163 = "4 Cells", E163="5 Cells", E163 = "6 Cells", E163 = "7 Cells"), "Disabled", "Enabled")</f>
        <v>Disabled</v>
      </c>
      <c r="I165" s="13" t="str">
        <f>IF(OR(E163 = "3 Cells",  E163 = "4 Cells", E163="5 Cells", E163 = "6 Cells"), "Disabled", "Enabled")</f>
        <v>Enabled</v>
      </c>
      <c r="J165" s="13" t="str">
        <f>IF(OR(E163 = "3 Cells",  E163 = "4 Cells"), "Disabled", "Enabled")</f>
        <v>Enabled</v>
      </c>
      <c r="K165" s="13" t="s">
        <v>163</v>
      </c>
      <c r="L165" s="13" t="s">
        <v>163</v>
      </c>
      <c r="M165" s="9"/>
      <c r="P165" s="1"/>
      <c r="Q165" s="2"/>
      <c r="R165" s="2"/>
      <c r="S165" s="2"/>
      <c r="T165" s="1"/>
      <c r="V165" t="str">
        <f t="shared" si="2"/>
        <v/>
      </c>
    </row>
    <row r="166" spans="2:22" x14ac:dyDescent="0.25">
      <c r="E166" s="86" t="s">
        <v>171</v>
      </c>
      <c r="F166" s="87"/>
      <c r="G166" s="87"/>
      <c r="H166" s="87"/>
      <c r="I166" s="87"/>
      <c r="J166" s="87"/>
      <c r="K166" s="87"/>
      <c r="L166" s="88"/>
      <c r="M166" s="9"/>
      <c r="P166" s="1"/>
      <c r="Q166" s="2"/>
      <c r="R166" s="2"/>
      <c r="S166" s="2"/>
      <c r="T166" s="1"/>
      <c r="V166" t="str">
        <f t="shared" si="2"/>
        <v/>
      </c>
    </row>
    <row r="167" spans="2:22" x14ac:dyDescent="0.25">
      <c r="E167" s="65" t="s">
        <v>164</v>
      </c>
      <c r="F167" s="65" t="s">
        <v>55</v>
      </c>
      <c r="G167" s="65" t="s">
        <v>165</v>
      </c>
      <c r="H167" s="65" t="s">
        <v>166</v>
      </c>
      <c r="I167" s="65" t="s">
        <v>55</v>
      </c>
      <c r="J167" s="65" t="s">
        <v>167</v>
      </c>
      <c r="K167" s="65" t="s">
        <v>168</v>
      </c>
      <c r="L167" s="106" t="s">
        <v>169</v>
      </c>
      <c r="M167" s="73"/>
      <c r="N167" s="35"/>
      <c r="O167" s="35"/>
      <c r="P167" s="73"/>
      <c r="Q167" s="73"/>
      <c r="R167" s="73"/>
      <c r="S167" s="73"/>
      <c r="T167" s="73"/>
      <c r="V167" t="str">
        <f t="shared" si="2"/>
        <v/>
      </c>
    </row>
    <row r="168" spans="2:22" x14ac:dyDescent="0.25">
      <c r="E168" s="66"/>
      <c r="F168" s="66"/>
      <c r="G168" s="66"/>
      <c r="H168" s="66"/>
      <c r="I168" s="66"/>
      <c r="J168" s="66"/>
      <c r="K168" s="66"/>
      <c r="L168" s="107"/>
      <c r="M168" s="65"/>
      <c r="N168" s="35"/>
      <c r="O168" s="35"/>
      <c r="P168" s="65"/>
      <c r="Q168" s="65"/>
      <c r="R168" s="65"/>
      <c r="S168" s="65"/>
      <c r="T168" s="65"/>
      <c r="V168" t="str">
        <f t="shared" si="2"/>
        <v/>
      </c>
    </row>
    <row r="169" spans="2:22" x14ac:dyDescent="0.25">
      <c r="B169" s="38"/>
      <c r="C169" s="38"/>
      <c r="E169" s="12">
        <v>1</v>
      </c>
      <c r="F169" s="36"/>
      <c r="G169" s="12">
        <v>1</v>
      </c>
      <c r="H169" s="12">
        <v>0</v>
      </c>
      <c r="I169" s="36"/>
      <c r="J169" s="12">
        <v>0</v>
      </c>
      <c r="K169" s="12">
        <v>0</v>
      </c>
      <c r="L169" s="12">
        <v>0</v>
      </c>
      <c r="M169" s="2"/>
      <c r="N169" s="13" t="str">
        <f>CONCATENATE(E169,"0",G169,H169,"0",J169,K169,L169)</f>
        <v>10100000</v>
      </c>
      <c r="O169" s="2"/>
      <c r="P169" s="13">
        <f>BIN2DEC(N169)</f>
        <v>160</v>
      </c>
      <c r="Q169" s="2" t="s">
        <v>170</v>
      </c>
      <c r="R169" s="13">
        <f>P169</f>
        <v>160</v>
      </c>
      <c r="S169" s="13" t="str">
        <f>IF(R169&lt;16,CONCATENATE("0x0",(DEC2HEX(R169))),CONCATENATE("0x",(DEC2HEX(R169))))</f>
        <v>0xA0</v>
      </c>
      <c r="T169" s="5" t="str">
        <f>DEC2BIN(R169,8)</f>
        <v>10100000</v>
      </c>
      <c r="V169" t="str">
        <f t="shared" si="2"/>
        <v>0xA0,</v>
      </c>
    </row>
    <row r="170" spans="2:22" x14ac:dyDescent="0.25">
      <c r="E170" s="86" t="s">
        <v>200</v>
      </c>
      <c r="F170" s="87"/>
      <c r="G170" s="87"/>
      <c r="H170" s="87"/>
      <c r="I170" s="87"/>
      <c r="J170" s="87"/>
      <c r="K170" s="87"/>
      <c r="L170" s="88"/>
      <c r="M170" s="2"/>
      <c r="N170" s="3"/>
      <c r="O170" s="3"/>
      <c r="P170" s="13"/>
      <c r="Q170" s="2"/>
      <c r="R170" s="13"/>
      <c r="S170" s="13"/>
      <c r="T170" s="5"/>
      <c r="V170" t="str">
        <f t="shared" si="2"/>
        <v/>
      </c>
    </row>
    <row r="171" spans="2:22" x14ac:dyDescent="0.25">
      <c r="E171" s="65" t="s">
        <v>173</v>
      </c>
      <c r="F171" s="65" t="s">
        <v>174</v>
      </c>
      <c r="G171" s="65" t="s">
        <v>175</v>
      </c>
      <c r="H171" s="65" t="s">
        <v>176</v>
      </c>
      <c r="I171" s="65" t="s">
        <v>177</v>
      </c>
      <c r="J171" s="65" t="s">
        <v>55</v>
      </c>
      <c r="K171" s="65" t="s">
        <v>55</v>
      </c>
      <c r="L171" s="106" t="s">
        <v>178</v>
      </c>
      <c r="M171" s="73"/>
      <c r="N171" s="35"/>
      <c r="O171" s="35"/>
      <c r="P171" s="73"/>
      <c r="Q171" s="73"/>
      <c r="R171" s="73"/>
      <c r="S171" s="73"/>
      <c r="T171" s="73"/>
      <c r="V171" t="str">
        <f t="shared" si="2"/>
        <v/>
      </c>
    </row>
    <row r="172" spans="2:22" x14ac:dyDescent="0.25">
      <c r="E172" s="66"/>
      <c r="F172" s="66"/>
      <c r="G172" s="66"/>
      <c r="H172" s="66"/>
      <c r="I172" s="66"/>
      <c r="J172" s="66"/>
      <c r="K172" s="66"/>
      <c r="L172" s="107"/>
      <c r="M172" s="65"/>
      <c r="N172" s="35"/>
      <c r="O172" s="35"/>
      <c r="P172" s="65"/>
      <c r="Q172" s="65"/>
      <c r="R172" s="65"/>
      <c r="S172" s="65"/>
      <c r="T172" s="65"/>
      <c r="V172" t="str">
        <f t="shared" si="2"/>
        <v/>
      </c>
    </row>
    <row r="173" spans="2:22" x14ac:dyDescent="0.25">
      <c r="B173" s="38"/>
      <c r="C173" s="38"/>
      <c r="E173" s="12">
        <v>1</v>
      </c>
      <c r="F173" s="12">
        <v>1</v>
      </c>
      <c r="G173" s="12">
        <v>0</v>
      </c>
      <c r="H173" s="12">
        <v>0</v>
      </c>
      <c r="I173" s="12">
        <v>0</v>
      </c>
      <c r="J173" s="36">
        <v>0</v>
      </c>
      <c r="K173" s="36">
        <v>0</v>
      </c>
      <c r="L173" s="12">
        <v>1</v>
      </c>
      <c r="M173" s="2"/>
      <c r="N173" s="34" t="str">
        <f>CONCATENATE(E173,F173,G173,H173,I173,"0","0",L173)</f>
        <v>11000001</v>
      </c>
      <c r="O173" s="2"/>
      <c r="P173" s="13">
        <f>BIN2DEC(N173)</f>
        <v>193</v>
      </c>
      <c r="Q173" s="2" t="s">
        <v>172</v>
      </c>
      <c r="R173" s="13">
        <f>P173</f>
        <v>193</v>
      </c>
      <c r="S173" s="13" t="str">
        <f>IF(R173&lt;16,CONCATENATE("0x0",(DEC2HEX(R173))),CONCATENATE("0x",(DEC2HEX(R173))))</f>
        <v>0xC1</v>
      </c>
      <c r="T173" s="5" t="str">
        <f>DEC2BIN(R173,8)</f>
        <v>11000001</v>
      </c>
      <c r="V173" t="str">
        <f>S173</f>
        <v>0xC1</v>
      </c>
    </row>
  </sheetData>
  <mergeCells count="272">
    <mergeCell ref="M171:M172"/>
    <mergeCell ref="P171:P172"/>
    <mergeCell ref="Q171:Q172"/>
    <mergeCell ref="R171:R172"/>
    <mergeCell ref="S171:S172"/>
    <mergeCell ref="T171:T172"/>
    <mergeCell ref="E170:L170"/>
    <mergeCell ref="E171:E172"/>
    <mergeCell ref="F171:F172"/>
    <mergeCell ref="G171:G172"/>
    <mergeCell ref="H171:H172"/>
    <mergeCell ref="I171:I172"/>
    <mergeCell ref="J171:J172"/>
    <mergeCell ref="K171:K172"/>
    <mergeCell ref="L171:L172"/>
    <mergeCell ref="M167:M168"/>
    <mergeCell ref="P167:P168"/>
    <mergeCell ref="Q167:Q168"/>
    <mergeCell ref="R167:R168"/>
    <mergeCell ref="S167:S168"/>
    <mergeCell ref="T167:T168"/>
    <mergeCell ref="E163:L163"/>
    <mergeCell ref="E166:L166"/>
    <mergeCell ref="E167:E168"/>
    <mergeCell ref="F167:F168"/>
    <mergeCell ref="G167:G168"/>
    <mergeCell ref="H167:H168"/>
    <mergeCell ref="I167:I168"/>
    <mergeCell ref="J167:J168"/>
    <mergeCell ref="K167:K168"/>
    <mergeCell ref="L167:L168"/>
    <mergeCell ref="E160:L160"/>
    <mergeCell ref="E161:F161"/>
    <mergeCell ref="G161:H161"/>
    <mergeCell ref="I161:J161"/>
    <mergeCell ref="K161:L161"/>
    <mergeCell ref="E162:L162"/>
    <mergeCell ref="E156:L156"/>
    <mergeCell ref="E158:L158"/>
    <mergeCell ref="E159:F159"/>
    <mergeCell ref="G159:H159"/>
    <mergeCell ref="I159:J159"/>
    <mergeCell ref="K159:L159"/>
    <mergeCell ref="E151:L151"/>
    <mergeCell ref="E152:L152"/>
    <mergeCell ref="E153:L153"/>
    <mergeCell ref="E154:H154"/>
    <mergeCell ref="I154:L154"/>
    <mergeCell ref="E155:H155"/>
    <mergeCell ref="I155:L155"/>
    <mergeCell ref="E147:L147"/>
    <mergeCell ref="E148:L150"/>
    <mergeCell ref="M148:M150"/>
    <mergeCell ref="N148:N150"/>
    <mergeCell ref="O148:O150"/>
    <mergeCell ref="P148:P150"/>
    <mergeCell ref="E143:L143"/>
    <mergeCell ref="E144:L146"/>
    <mergeCell ref="M144:M146"/>
    <mergeCell ref="N144:N146"/>
    <mergeCell ref="O144:O146"/>
    <mergeCell ref="P144:P146"/>
    <mergeCell ref="E139:L139"/>
    <mergeCell ref="E140:L142"/>
    <mergeCell ref="M140:M142"/>
    <mergeCell ref="N140:N142"/>
    <mergeCell ref="O140:O142"/>
    <mergeCell ref="P140:P142"/>
    <mergeCell ref="E135:L135"/>
    <mergeCell ref="E136:L138"/>
    <mergeCell ref="M136:M138"/>
    <mergeCell ref="N136:N138"/>
    <mergeCell ref="O136:O138"/>
    <mergeCell ref="P136:P138"/>
    <mergeCell ref="E131:L131"/>
    <mergeCell ref="E132:L134"/>
    <mergeCell ref="M132:M134"/>
    <mergeCell ref="N132:N134"/>
    <mergeCell ref="O132:O134"/>
    <mergeCell ref="P132:P134"/>
    <mergeCell ref="E127:L127"/>
    <mergeCell ref="E128:L130"/>
    <mergeCell ref="M128:M130"/>
    <mergeCell ref="N128:N130"/>
    <mergeCell ref="O128:O130"/>
    <mergeCell ref="P128:P130"/>
    <mergeCell ref="E123:L123"/>
    <mergeCell ref="E124:L126"/>
    <mergeCell ref="M124:M126"/>
    <mergeCell ref="N124:N126"/>
    <mergeCell ref="O124:O126"/>
    <mergeCell ref="P124:P126"/>
    <mergeCell ref="E119:L119"/>
    <mergeCell ref="E120:L122"/>
    <mergeCell ref="M120:M122"/>
    <mergeCell ref="N120:N122"/>
    <mergeCell ref="O120:O122"/>
    <mergeCell ref="P120:P122"/>
    <mergeCell ref="E115:L115"/>
    <mergeCell ref="E116:L118"/>
    <mergeCell ref="M116:M118"/>
    <mergeCell ref="N116:N118"/>
    <mergeCell ref="O116:O118"/>
    <mergeCell ref="P116:P118"/>
    <mergeCell ref="E111:L111"/>
    <mergeCell ref="E112:L114"/>
    <mergeCell ref="M112:M114"/>
    <mergeCell ref="N112:N114"/>
    <mergeCell ref="O112:O114"/>
    <mergeCell ref="P112:P114"/>
    <mergeCell ref="E107:L107"/>
    <mergeCell ref="E108:L110"/>
    <mergeCell ref="M108:M110"/>
    <mergeCell ref="N108:N110"/>
    <mergeCell ref="O108:O110"/>
    <mergeCell ref="P108:P110"/>
    <mergeCell ref="E103:L103"/>
    <mergeCell ref="E104:L106"/>
    <mergeCell ref="M104:M106"/>
    <mergeCell ref="N104:N106"/>
    <mergeCell ref="O104:O106"/>
    <mergeCell ref="P104:P106"/>
    <mergeCell ref="E99:L99"/>
    <mergeCell ref="E100:L102"/>
    <mergeCell ref="M100:M102"/>
    <mergeCell ref="N100:N102"/>
    <mergeCell ref="O100:O102"/>
    <mergeCell ref="P100:P102"/>
    <mergeCell ref="E95:L95"/>
    <mergeCell ref="E96:L98"/>
    <mergeCell ref="M96:M98"/>
    <mergeCell ref="N96:N98"/>
    <mergeCell ref="O96:O98"/>
    <mergeCell ref="P96:P98"/>
    <mergeCell ref="E91:L91"/>
    <mergeCell ref="E92:L94"/>
    <mergeCell ref="M92:M94"/>
    <mergeCell ref="N92:N94"/>
    <mergeCell ref="O92:O94"/>
    <mergeCell ref="P92:P94"/>
    <mergeCell ref="E86:L86"/>
    <mergeCell ref="E87:L87"/>
    <mergeCell ref="E88:L88"/>
    <mergeCell ref="E89:H89"/>
    <mergeCell ref="I89:L89"/>
    <mergeCell ref="E90:H90"/>
    <mergeCell ref="I90:L90"/>
    <mergeCell ref="E81:L81"/>
    <mergeCell ref="E82:L82"/>
    <mergeCell ref="E83:L83"/>
    <mergeCell ref="E84:H84"/>
    <mergeCell ref="I84:L84"/>
    <mergeCell ref="E85:H85"/>
    <mergeCell ref="I85:L85"/>
    <mergeCell ref="E77:L77"/>
    <mergeCell ref="E78:L80"/>
    <mergeCell ref="M78:M80"/>
    <mergeCell ref="N78:N80"/>
    <mergeCell ref="O78:O80"/>
    <mergeCell ref="P78:P80"/>
    <mergeCell ref="E73:L73"/>
    <mergeCell ref="E74:L76"/>
    <mergeCell ref="M74:M76"/>
    <mergeCell ref="N74:N76"/>
    <mergeCell ref="O74:O76"/>
    <mergeCell ref="P74:P76"/>
    <mergeCell ref="P66:P68"/>
    <mergeCell ref="E69:L69"/>
    <mergeCell ref="E70:L72"/>
    <mergeCell ref="M70:M72"/>
    <mergeCell ref="N70:N72"/>
    <mergeCell ref="O70:O72"/>
    <mergeCell ref="P70:P72"/>
    <mergeCell ref="E64:G64"/>
    <mergeCell ref="E65:L65"/>
    <mergeCell ref="E66:L68"/>
    <mergeCell ref="M66:M68"/>
    <mergeCell ref="N66:N68"/>
    <mergeCell ref="O66:O68"/>
    <mergeCell ref="E60:L60"/>
    <mergeCell ref="E61:L61"/>
    <mergeCell ref="E62:L62"/>
    <mergeCell ref="E63:G63"/>
    <mergeCell ref="H63:J63"/>
    <mergeCell ref="K63:L63"/>
    <mergeCell ref="E56:L56"/>
    <mergeCell ref="E57:L57"/>
    <mergeCell ref="E58:G58"/>
    <mergeCell ref="H58:J58"/>
    <mergeCell ref="K58:L58"/>
    <mergeCell ref="E59:G59"/>
    <mergeCell ref="E52:L52"/>
    <mergeCell ref="E53:G53"/>
    <mergeCell ref="H53:J53"/>
    <mergeCell ref="K53:L53"/>
    <mergeCell ref="E54:G54"/>
    <mergeCell ref="E55:L55"/>
    <mergeCell ref="E46:L46"/>
    <mergeCell ref="E47:L47"/>
    <mergeCell ref="E48:L48"/>
    <mergeCell ref="E49:L49"/>
    <mergeCell ref="E50:L50"/>
    <mergeCell ref="E51:L51"/>
    <mergeCell ref="E41:L41"/>
    <mergeCell ref="E42:L42"/>
    <mergeCell ref="E43:L43"/>
    <mergeCell ref="E44:H44"/>
    <mergeCell ref="I44:L44"/>
    <mergeCell ref="E45:H45"/>
    <mergeCell ref="I45:L45"/>
    <mergeCell ref="E36:L36"/>
    <mergeCell ref="E37:L37"/>
    <mergeCell ref="E38:L38"/>
    <mergeCell ref="E39:H39"/>
    <mergeCell ref="I39:L39"/>
    <mergeCell ref="E40:H40"/>
    <mergeCell ref="I40:L40"/>
    <mergeCell ref="E32:L32"/>
    <mergeCell ref="E33:L35"/>
    <mergeCell ref="M33:M35"/>
    <mergeCell ref="N33:N35"/>
    <mergeCell ref="O33:O35"/>
    <mergeCell ref="P33:P35"/>
    <mergeCell ref="E28:L28"/>
    <mergeCell ref="E29:L31"/>
    <mergeCell ref="M29:M31"/>
    <mergeCell ref="N29:N31"/>
    <mergeCell ref="O29:O31"/>
    <mergeCell ref="P29:P31"/>
    <mergeCell ref="E24:L24"/>
    <mergeCell ref="E25:L27"/>
    <mergeCell ref="M25:M27"/>
    <mergeCell ref="N25:N27"/>
    <mergeCell ref="O25:O27"/>
    <mergeCell ref="P25:P27"/>
    <mergeCell ref="P17:P19"/>
    <mergeCell ref="E20:L20"/>
    <mergeCell ref="E21:L23"/>
    <mergeCell ref="M21:M23"/>
    <mergeCell ref="N21:N23"/>
    <mergeCell ref="O21:O23"/>
    <mergeCell ref="P21:P23"/>
    <mergeCell ref="E15:L15"/>
    <mergeCell ref="E16:L16"/>
    <mergeCell ref="E17:L19"/>
    <mergeCell ref="M17:M19"/>
    <mergeCell ref="N17:N19"/>
    <mergeCell ref="O17:O19"/>
    <mergeCell ref="N10:N11"/>
    <mergeCell ref="O10:O11"/>
    <mergeCell ref="P10:P11"/>
    <mergeCell ref="E12:L12"/>
    <mergeCell ref="E13:L13"/>
    <mergeCell ref="E14:L14"/>
    <mergeCell ref="A8:C9"/>
    <mergeCell ref="E8:L8"/>
    <mergeCell ref="E9:L9"/>
    <mergeCell ref="A10:C10"/>
    <mergeCell ref="E10:L11"/>
    <mergeCell ref="M10:M11"/>
    <mergeCell ref="S3:S4"/>
    <mergeCell ref="T3:T4"/>
    <mergeCell ref="E5:L5"/>
    <mergeCell ref="A6:C6"/>
    <mergeCell ref="E6:L6"/>
    <mergeCell ref="E7:L7"/>
    <mergeCell ref="E3:L4"/>
    <mergeCell ref="M3:M4"/>
    <mergeCell ref="N3:O4"/>
    <mergeCell ref="P3:P4"/>
    <mergeCell ref="Q3:Q4"/>
    <mergeCell ref="R3:R4"/>
  </mergeCells>
  <pageMargins left="0.7" right="0.7" top="0.75" bottom="0.75" header="0.3" footer="0.3"/>
  <pageSetup orientation="portrait" r:id="rId1"/>
  <drawing r:id="rId2"/>
  <legacyDrawing r:id="rId3"/>
  <controls>
    <mc:AlternateContent xmlns:mc="http://schemas.openxmlformats.org/markup-compatibility/2006">
      <mc:Choice Requires="x14">
        <control shapeId="27649" r:id="rId4" name="btnGenerateFile">
          <controlPr defaultSize="0" autoLine="0" r:id="rId5">
            <anchor moveWithCells="1">
              <from>
                <xdr:col>9</xdr:col>
                <xdr:colOff>600075</xdr:colOff>
                <xdr:row>176</xdr:row>
                <xdr:rowOff>104775</xdr:rowOff>
              </from>
              <to>
                <xdr:col>13</xdr:col>
                <xdr:colOff>333375</xdr:colOff>
                <xdr:row>180</xdr:row>
                <xdr:rowOff>114300</xdr:rowOff>
              </to>
            </anchor>
          </controlPr>
        </control>
      </mc:Choice>
      <mc:Fallback>
        <control shapeId="27649" r:id="rId4" name="btnGenerateFi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B4F9F8F5-69F6-4C43-BD41-97F41382AE8C}">
          <x14:formula1>
            <xm:f>Variables!$F$7:$F$12</xm:f>
          </x14:formula1>
          <xm:sqref>E163:L163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182542-2EA6-44B9-928E-AE5541F3041B}">
  <sheetPr codeName="Sheet7"/>
  <dimension ref="A3:T173"/>
  <sheetViews>
    <sheetView workbookViewId="0">
      <pane ySplit="4" topLeftCell="A154" activePane="bottomLeft" state="frozen"/>
      <selection pane="bottomLeft" activeCell="A6" sqref="A6:C6"/>
    </sheetView>
  </sheetViews>
  <sheetFormatPr defaultRowHeight="15" x14ac:dyDescent="0.25"/>
  <cols>
    <col min="2" max="3" width="10.5703125" customWidth="1"/>
    <col min="16" max="16" width="9.42578125" customWidth="1"/>
  </cols>
  <sheetData>
    <row r="3" spans="1:20" x14ac:dyDescent="0.25">
      <c r="E3" s="73" t="s">
        <v>9</v>
      </c>
      <c r="F3" s="73"/>
      <c r="G3" s="73"/>
      <c r="H3" s="73"/>
      <c r="I3" s="73"/>
      <c r="J3" s="73"/>
      <c r="K3" s="73"/>
      <c r="L3" s="73"/>
      <c r="M3" s="65" t="s">
        <v>10</v>
      </c>
      <c r="N3" s="73" t="s">
        <v>30</v>
      </c>
      <c r="O3" s="73"/>
      <c r="P3" s="67" t="s">
        <v>11</v>
      </c>
      <c r="Q3" s="67" t="s">
        <v>14</v>
      </c>
      <c r="R3" s="67" t="s">
        <v>11</v>
      </c>
      <c r="S3" s="67" t="s">
        <v>12</v>
      </c>
      <c r="T3" s="68" t="s">
        <v>88</v>
      </c>
    </row>
    <row r="4" spans="1:20" x14ac:dyDescent="0.25">
      <c r="E4" s="73"/>
      <c r="F4" s="73"/>
      <c r="G4" s="73"/>
      <c r="H4" s="73"/>
      <c r="I4" s="73"/>
      <c r="J4" s="73"/>
      <c r="K4" s="73"/>
      <c r="L4" s="73"/>
      <c r="M4" s="66"/>
      <c r="N4" s="73"/>
      <c r="O4" s="73"/>
      <c r="P4" s="67"/>
      <c r="Q4" s="67"/>
      <c r="R4" s="67"/>
      <c r="S4" s="67"/>
      <c r="T4" s="68"/>
    </row>
    <row r="5" spans="1:20" ht="15.75" thickBot="1" x14ac:dyDescent="0.3">
      <c r="E5" s="57" t="s">
        <v>16</v>
      </c>
      <c r="F5" s="57"/>
      <c r="G5" s="57"/>
      <c r="H5" s="57"/>
      <c r="I5" s="57"/>
      <c r="J5" s="57"/>
      <c r="K5" s="57"/>
      <c r="L5" s="57"/>
      <c r="N5" s="4"/>
      <c r="O5" s="7"/>
      <c r="P5" s="9"/>
      <c r="Q5" s="2" t="s">
        <v>15</v>
      </c>
      <c r="R5" s="13">
        <f>_xlfn.BITAND(P6,255)</f>
        <v>255</v>
      </c>
      <c r="S5" s="13" t="str">
        <f>IF(R5&lt;16,CONCATENATE("0x0",(DEC2HEX(R5))),CONCATENATE("0x",(DEC2HEX(R5))))</f>
        <v>0xFF</v>
      </c>
      <c r="T5" s="5" t="str">
        <f>DEC2BIN(R5,8)</f>
        <v>11111111</v>
      </c>
    </row>
    <row r="6" spans="1:20" ht="15.75" thickBot="1" x14ac:dyDescent="0.3">
      <c r="A6" s="69" t="s">
        <v>199</v>
      </c>
      <c r="B6" s="70"/>
      <c r="C6" s="71"/>
      <c r="E6" s="72">
        <v>5</v>
      </c>
      <c r="F6" s="72"/>
      <c r="G6" s="72"/>
      <c r="H6" s="72"/>
      <c r="I6" s="72"/>
      <c r="J6" s="72"/>
      <c r="K6" s="72"/>
      <c r="L6" s="72"/>
      <c r="M6" s="18" t="s">
        <v>5</v>
      </c>
      <c r="N6" s="5">
        <f>(P6*Variables!C1/Variables!C3)*Variables!C2</f>
        <v>4.800000000000006</v>
      </c>
      <c r="O6" s="2" t="s">
        <v>5</v>
      </c>
      <c r="P6" s="5">
        <f>(IF(E6&lt;0,0,IF(E6&gt;4.8,4095,ROUND((E6/Variables!F3),0))))</f>
        <v>4095</v>
      </c>
      <c r="Q6" s="25"/>
      <c r="R6" s="25"/>
      <c r="S6" s="2"/>
      <c r="T6" s="1"/>
    </row>
    <row r="7" spans="1:20" ht="15.75" thickBot="1" x14ac:dyDescent="0.3">
      <c r="E7" s="57" t="s">
        <v>0</v>
      </c>
      <c r="F7" s="57"/>
      <c r="G7" s="57"/>
      <c r="H7" s="57"/>
      <c r="I7" s="57"/>
      <c r="J7" s="57"/>
      <c r="K7" s="57"/>
      <c r="L7" s="57"/>
      <c r="N7" s="4"/>
      <c r="O7" s="8"/>
      <c r="P7" s="10"/>
      <c r="Q7" s="2" t="s">
        <v>13</v>
      </c>
      <c r="R7" s="13">
        <f>(P8*2^4)+((_xlfn.BITAND(P6,3840))/(2^8))</f>
        <v>255</v>
      </c>
      <c r="S7" s="13" t="str">
        <f>IF(R7&lt;16,CONCATENATE("0x0",(DEC2HEX(R7))),CONCATENATE("0x",(DEC2HEX(R7))))</f>
        <v>0xFF</v>
      </c>
      <c r="T7" s="5" t="str">
        <f>DEC2BIN(R7,8)</f>
        <v>11111111</v>
      </c>
    </row>
    <row r="8" spans="1:20" x14ac:dyDescent="0.25">
      <c r="A8" s="48" t="s">
        <v>198</v>
      </c>
      <c r="B8" s="49"/>
      <c r="C8" s="50"/>
      <c r="E8" s="54">
        <v>15</v>
      </c>
      <c r="F8" s="55"/>
      <c r="G8" s="55"/>
      <c r="H8" s="55"/>
      <c r="I8" s="55"/>
      <c r="J8" s="55"/>
      <c r="K8" s="55"/>
      <c r="L8" s="56"/>
      <c r="M8" s="18" t="s">
        <v>4</v>
      </c>
      <c r="N8" s="5">
        <f>(IF(E8&lt;0,0,IF(E8&gt;15,15,ROUND(E8,0))))</f>
        <v>15</v>
      </c>
      <c r="O8" s="16" t="s">
        <v>4</v>
      </c>
      <c r="P8" s="5">
        <f>N8</f>
        <v>15</v>
      </c>
      <c r="Q8" s="25"/>
      <c r="R8" s="25"/>
      <c r="S8" s="2"/>
      <c r="T8" s="1"/>
    </row>
    <row r="9" spans="1:20" ht="15.75" thickBot="1" x14ac:dyDescent="0.3">
      <c r="A9" s="51"/>
      <c r="B9" s="52"/>
      <c r="C9" s="53"/>
      <c r="E9" s="57" t="s">
        <v>17</v>
      </c>
      <c r="F9" s="57"/>
      <c r="G9" s="57"/>
      <c r="H9" s="57"/>
      <c r="I9" s="57"/>
      <c r="J9" s="57"/>
      <c r="K9" s="57"/>
      <c r="L9" s="57"/>
      <c r="M9" s="1"/>
      <c r="P9" s="1"/>
      <c r="Q9" s="2" t="s">
        <v>18</v>
      </c>
      <c r="R9" s="13">
        <f>_xlfn.BITAND(P10,255)</f>
        <v>255</v>
      </c>
      <c r="S9" s="13" t="str">
        <f>IF(R9&lt;16,CONCATENATE("0x0",(DEC2HEX(R9))),CONCATENATE("0x",(DEC2HEX(R9))))</f>
        <v>0xFF</v>
      </c>
      <c r="T9" s="5" t="str">
        <f>DEC2BIN(R9,8)</f>
        <v>11111111</v>
      </c>
    </row>
    <row r="10" spans="1:20" x14ac:dyDescent="0.25">
      <c r="A10" s="58" t="s">
        <v>197</v>
      </c>
      <c r="B10" s="58"/>
      <c r="C10" s="58"/>
      <c r="E10" s="59">
        <v>5</v>
      </c>
      <c r="F10" s="60"/>
      <c r="G10" s="60"/>
      <c r="H10" s="60"/>
      <c r="I10" s="60"/>
      <c r="J10" s="60"/>
      <c r="K10" s="60"/>
      <c r="L10" s="61"/>
      <c r="M10" s="65" t="s">
        <v>5</v>
      </c>
      <c r="N10" s="76">
        <f>(P10*Variables!C1/Variables!C3)*Variables!C2</f>
        <v>4.800000000000006</v>
      </c>
      <c r="O10" s="77" t="s">
        <v>5</v>
      </c>
      <c r="P10" s="79">
        <f>(IF(E10&lt;0,0,IF(E10&gt;4.8,4095,ROUND((E10/Variables!F3),0))))</f>
        <v>4095</v>
      </c>
      <c r="Q10" s="2"/>
      <c r="R10" s="3"/>
      <c r="S10" s="2"/>
      <c r="T10" s="1"/>
    </row>
    <row r="11" spans="1:20" x14ac:dyDescent="0.25">
      <c r="E11" s="62"/>
      <c r="F11" s="63"/>
      <c r="G11" s="63"/>
      <c r="H11" s="63"/>
      <c r="I11" s="63"/>
      <c r="J11" s="63"/>
      <c r="K11" s="63"/>
      <c r="L11" s="64"/>
      <c r="M11" s="66"/>
      <c r="N11" s="76"/>
      <c r="O11" s="78"/>
      <c r="P11" s="80"/>
      <c r="Q11" s="2" t="s">
        <v>19</v>
      </c>
      <c r="R11" s="13">
        <f>((_xlfn.BITAND(P10,3840))/(2^8))</f>
        <v>15</v>
      </c>
      <c r="S11" s="13" t="str">
        <f>IF(R11&lt;16,CONCATENATE("0x0",(DEC2HEX(R11))),CONCATENATE("0x",(DEC2HEX(R11))))</f>
        <v>0x0F</v>
      </c>
      <c r="T11" s="5" t="str">
        <f>DEC2BIN(R11,8)</f>
        <v>00001111</v>
      </c>
    </row>
    <row r="12" spans="1:20" x14ac:dyDescent="0.25">
      <c r="E12" s="57" t="s">
        <v>20</v>
      </c>
      <c r="F12" s="57"/>
      <c r="G12" s="57"/>
      <c r="H12" s="57"/>
      <c r="I12" s="57"/>
      <c r="J12" s="57"/>
      <c r="K12" s="57"/>
      <c r="L12" s="57"/>
      <c r="M12" s="4"/>
      <c r="N12" s="14"/>
      <c r="O12" s="6"/>
      <c r="P12" s="14"/>
      <c r="Q12" s="2"/>
      <c r="R12" s="3"/>
      <c r="S12" s="2"/>
      <c r="T12" s="1"/>
    </row>
    <row r="13" spans="1:20" x14ac:dyDescent="0.25">
      <c r="E13" s="72">
        <v>0</v>
      </c>
      <c r="F13" s="72"/>
      <c r="G13" s="72"/>
      <c r="H13" s="72"/>
      <c r="I13" s="72"/>
      <c r="J13" s="72"/>
      <c r="K13" s="72"/>
      <c r="L13" s="72"/>
      <c r="M13" s="17" t="s">
        <v>5</v>
      </c>
      <c r="N13" s="5">
        <f>(P13*Variables!C1/Variables!C3)*Variables!C2</f>
        <v>0</v>
      </c>
      <c r="O13" s="2" t="s">
        <v>5</v>
      </c>
      <c r="P13" s="5">
        <f>(IF(E13&lt;0,0,IF(E13&gt;4.8,4095,ROUND((E13/Variables!F3),0))))</f>
        <v>0</v>
      </c>
      <c r="Q13" s="2" t="s">
        <v>21</v>
      </c>
      <c r="R13" s="13">
        <f>_xlfn.BITAND(P13,255)</f>
        <v>0</v>
      </c>
      <c r="S13" s="13" t="str">
        <f>IF(R13&lt;16,CONCATENATE("0x0",(DEC2HEX(R13))),CONCATENATE("0x",(DEC2HEX(R13))))</f>
        <v>0x00</v>
      </c>
      <c r="T13" s="5" t="str">
        <f>DEC2BIN(R13,8)</f>
        <v>00000000</v>
      </c>
    </row>
    <row r="14" spans="1:20" x14ac:dyDescent="0.25">
      <c r="E14" s="74" t="s">
        <v>23</v>
      </c>
      <c r="F14" s="74"/>
      <c r="G14" s="74"/>
      <c r="H14" s="74"/>
      <c r="I14" s="74"/>
      <c r="J14" s="74"/>
      <c r="K14" s="74"/>
      <c r="L14" s="74"/>
      <c r="M14" s="1"/>
      <c r="N14" s="15"/>
      <c r="P14" s="14"/>
      <c r="Q14" s="2"/>
      <c r="R14" s="2"/>
      <c r="S14" s="2"/>
      <c r="T14" s="1"/>
    </row>
    <row r="15" spans="1:20" x14ac:dyDescent="0.25">
      <c r="E15" s="72">
        <v>15</v>
      </c>
      <c r="F15" s="72"/>
      <c r="G15" s="72"/>
      <c r="H15" s="72"/>
      <c r="I15" s="72"/>
      <c r="J15" s="72"/>
      <c r="K15" s="72"/>
      <c r="L15" s="72"/>
      <c r="M15" s="2" t="s">
        <v>4</v>
      </c>
      <c r="N15" s="5">
        <f>(IF(E15&lt;0,0,IF(E15&gt;15,15,ROUND(E15,0))))</f>
        <v>15</v>
      </c>
      <c r="O15" s="2" t="s">
        <v>4</v>
      </c>
      <c r="P15" s="5">
        <f>N15</f>
        <v>15</v>
      </c>
      <c r="Q15" s="2" t="s">
        <v>22</v>
      </c>
      <c r="R15" s="13">
        <f>(P15*2^4)+((_xlfn.BITAND(P13,3840))/(2^8))</f>
        <v>240</v>
      </c>
      <c r="S15" s="13" t="str">
        <f>IF(R15&lt;16,CONCATENATE("0x0",(DEC2HEX(R15))),CONCATENATE("0x",(DEC2HEX(R15))))</f>
        <v>0xF0</v>
      </c>
      <c r="T15" s="5" t="str">
        <f>DEC2BIN(R15,8)</f>
        <v>11110000</v>
      </c>
    </row>
    <row r="16" spans="1:20" x14ac:dyDescent="0.25">
      <c r="E16" s="74" t="s">
        <v>24</v>
      </c>
      <c r="F16" s="74"/>
      <c r="G16" s="74"/>
      <c r="H16" s="74"/>
      <c r="I16" s="74"/>
      <c r="J16" s="74"/>
      <c r="K16" s="74"/>
      <c r="L16" s="74"/>
      <c r="M16" s="2"/>
      <c r="P16" s="14"/>
      <c r="Q16" s="3"/>
      <c r="R16" s="2"/>
      <c r="S16" s="2"/>
      <c r="T16" s="1"/>
    </row>
    <row r="17" spans="5:20" x14ac:dyDescent="0.25">
      <c r="E17" s="75">
        <v>0</v>
      </c>
      <c r="F17" s="75"/>
      <c r="G17" s="75"/>
      <c r="H17" s="75"/>
      <c r="I17" s="75"/>
      <c r="J17" s="75"/>
      <c r="K17" s="75"/>
      <c r="L17" s="75"/>
      <c r="M17" s="73" t="s">
        <v>5</v>
      </c>
      <c r="N17" s="76">
        <f>(P17*Variables!C1/Variables!C3)*Variables!C2</f>
        <v>0</v>
      </c>
      <c r="O17" s="73" t="s">
        <v>5</v>
      </c>
      <c r="P17" s="76">
        <f>(IF(E17&lt;0,0,IF(E17&gt;4.8,4095,ROUND((E17/Variables!F3),0))))</f>
        <v>0</v>
      </c>
      <c r="Q17" s="2" t="s">
        <v>25</v>
      </c>
      <c r="R17" s="13">
        <f>_xlfn.BITAND(P17,255)</f>
        <v>0</v>
      </c>
      <c r="S17" s="13" t="str">
        <f>IF(R17&lt;16,CONCATENATE("0x0",(DEC2HEX(R17))),CONCATENATE("0x",(DEC2HEX(R17))))</f>
        <v>0x00</v>
      </c>
      <c r="T17" s="5" t="str">
        <f>DEC2BIN(R17,8)</f>
        <v>00000000</v>
      </c>
    </row>
    <row r="18" spans="5:20" x14ac:dyDescent="0.25">
      <c r="E18" s="75"/>
      <c r="F18" s="75"/>
      <c r="G18" s="75"/>
      <c r="H18" s="75"/>
      <c r="I18" s="75"/>
      <c r="J18" s="75"/>
      <c r="K18" s="75"/>
      <c r="L18" s="75"/>
      <c r="M18" s="73"/>
      <c r="N18" s="76"/>
      <c r="O18" s="73"/>
      <c r="P18" s="76"/>
      <c r="Q18" s="2"/>
      <c r="R18" s="2"/>
      <c r="S18" s="2"/>
      <c r="T18" s="1"/>
    </row>
    <row r="19" spans="5:20" x14ac:dyDescent="0.25">
      <c r="E19" s="75"/>
      <c r="F19" s="75"/>
      <c r="G19" s="75"/>
      <c r="H19" s="75"/>
      <c r="I19" s="75"/>
      <c r="J19" s="75"/>
      <c r="K19" s="75"/>
      <c r="L19" s="75"/>
      <c r="M19" s="73"/>
      <c r="N19" s="76"/>
      <c r="O19" s="73"/>
      <c r="P19" s="76"/>
      <c r="Q19" s="2" t="s">
        <v>26</v>
      </c>
      <c r="R19" s="13">
        <f>((_xlfn.BITAND(P17,3840))/(2^8))</f>
        <v>0</v>
      </c>
      <c r="S19" s="13" t="str">
        <f>IF(R19&lt;16,CONCATENATE("0x0",(DEC2HEX(R19))),CONCATENATE("0x",(DEC2HEX(R19))))</f>
        <v>0x00</v>
      </c>
      <c r="T19" s="5" t="str">
        <f>DEC2BIN(R19,8)</f>
        <v>00000000</v>
      </c>
    </row>
    <row r="20" spans="5:20" x14ac:dyDescent="0.25">
      <c r="E20" s="57" t="s">
        <v>27</v>
      </c>
      <c r="F20" s="57"/>
      <c r="G20" s="57"/>
      <c r="H20" s="57"/>
      <c r="I20" s="57"/>
      <c r="J20" s="57"/>
      <c r="K20" s="57"/>
      <c r="L20" s="57"/>
      <c r="M20" s="1"/>
      <c r="P20" s="1"/>
      <c r="Q20" s="3"/>
      <c r="R20" s="2"/>
      <c r="S20" s="2"/>
      <c r="T20" s="1"/>
    </row>
    <row r="21" spans="5:20" x14ac:dyDescent="0.25">
      <c r="E21" s="75">
        <v>5</v>
      </c>
      <c r="F21" s="75"/>
      <c r="G21" s="75"/>
      <c r="H21" s="75"/>
      <c r="I21" s="75"/>
      <c r="J21" s="75"/>
      <c r="K21" s="75"/>
      <c r="L21" s="75"/>
      <c r="M21" s="73" t="s">
        <v>5</v>
      </c>
      <c r="N21" s="79">
        <f>(P21*Variables!C1/Variables!C3)*Variables!C2</f>
        <v>4.800000000000006</v>
      </c>
      <c r="O21" s="73" t="s">
        <v>5</v>
      </c>
      <c r="P21" s="76">
        <f>(IF(E21&lt;0,0,IF(E21&gt;4.8,4095,ROUND((E21/Variables!F3),0))))</f>
        <v>4095</v>
      </c>
      <c r="Q21" s="2" t="s">
        <v>28</v>
      </c>
      <c r="R21" s="13">
        <f>_xlfn.BITAND(P21,255)</f>
        <v>255</v>
      </c>
      <c r="S21" s="13" t="str">
        <f>IF(R21&lt;16,CONCATENATE("0x0",(DEC2HEX(R21))),CONCATENATE("0x",(DEC2HEX(R21))))</f>
        <v>0xFF</v>
      </c>
      <c r="T21" s="5" t="str">
        <f>DEC2BIN(R21,8)</f>
        <v>11111111</v>
      </c>
    </row>
    <row r="22" spans="5:20" x14ac:dyDescent="0.25">
      <c r="E22" s="75"/>
      <c r="F22" s="75"/>
      <c r="G22" s="75"/>
      <c r="H22" s="75"/>
      <c r="I22" s="75"/>
      <c r="J22" s="75"/>
      <c r="K22" s="75"/>
      <c r="L22" s="75"/>
      <c r="M22" s="73"/>
      <c r="N22" s="82"/>
      <c r="O22" s="73"/>
      <c r="P22" s="76"/>
      <c r="Q22" s="2"/>
      <c r="R22" s="2"/>
      <c r="S22" s="2"/>
      <c r="T22" s="1"/>
    </row>
    <row r="23" spans="5:20" x14ac:dyDescent="0.25">
      <c r="E23" s="75"/>
      <c r="F23" s="75"/>
      <c r="G23" s="75"/>
      <c r="H23" s="75"/>
      <c r="I23" s="75"/>
      <c r="J23" s="75"/>
      <c r="K23" s="75"/>
      <c r="L23" s="75"/>
      <c r="M23" s="73"/>
      <c r="N23" s="80"/>
      <c r="O23" s="73"/>
      <c r="P23" s="76"/>
      <c r="Q23" s="2" t="s">
        <v>29</v>
      </c>
      <c r="R23" s="13">
        <f>((_xlfn.BITAND(P21,3840))/(2^8))</f>
        <v>15</v>
      </c>
      <c r="S23" s="13" t="str">
        <f>IF(R23&lt;16,CONCATENATE("0x0",(DEC2HEX(R23))),CONCATENATE("0x",(DEC2HEX(R23))))</f>
        <v>0x0F</v>
      </c>
      <c r="T23" s="5" t="str">
        <f>DEC2BIN(R23,8)</f>
        <v>00001111</v>
      </c>
    </row>
    <row r="24" spans="5:20" x14ac:dyDescent="0.25">
      <c r="E24" s="57" t="s">
        <v>31</v>
      </c>
      <c r="F24" s="57"/>
      <c r="G24" s="57"/>
      <c r="H24" s="57"/>
      <c r="I24" s="57"/>
      <c r="J24" s="57"/>
      <c r="K24" s="57"/>
      <c r="L24" s="57"/>
      <c r="M24" s="1"/>
      <c r="P24" s="1"/>
      <c r="Q24" s="2"/>
      <c r="R24" s="2"/>
      <c r="S24" s="2"/>
      <c r="T24" s="1"/>
    </row>
    <row r="25" spans="5:20" x14ac:dyDescent="0.25">
      <c r="E25" s="75">
        <v>0</v>
      </c>
      <c r="F25" s="75"/>
      <c r="G25" s="75"/>
      <c r="H25" s="75"/>
      <c r="I25" s="75"/>
      <c r="J25" s="75"/>
      <c r="K25" s="75"/>
      <c r="L25" s="75"/>
      <c r="M25" s="73" t="s">
        <v>5</v>
      </c>
      <c r="N25" s="76">
        <f>(P25*Variables!C1/Variables!C3)*Variables!C2</f>
        <v>0</v>
      </c>
      <c r="O25" s="65" t="s">
        <v>5</v>
      </c>
      <c r="P25" s="76">
        <f>(IF(E25&lt;0,0,IF(E25&gt;4.8,4095,ROUND((E25/Variables!F3),0))))</f>
        <v>0</v>
      </c>
      <c r="Q25" s="2" t="s">
        <v>32</v>
      </c>
      <c r="R25" s="13">
        <f>_xlfn.BITAND(P25,255)</f>
        <v>0</v>
      </c>
      <c r="S25" s="13" t="str">
        <f>IF(R25&lt;16,CONCATENATE("0x0",(DEC2HEX(R25))),CONCATENATE("0x",(DEC2HEX(R25))))</f>
        <v>0x00</v>
      </c>
      <c r="T25" s="5" t="str">
        <f>DEC2BIN(R25,8)</f>
        <v>00000000</v>
      </c>
    </row>
    <row r="26" spans="5:20" x14ac:dyDescent="0.25">
      <c r="E26" s="75"/>
      <c r="F26" s="75"/>
      <c r="G26" s="75"/>
      <c r="H26" s="75"/>
      <c r="I26" s="75"/>
      <c r="J26" s="75"/>
      <c r="K26" s="75"/>
      <c r="L26" s="75"/>
      <c r="M26" s="73"/>
      <c r="N26" s="76"/>
      <c r="O26" s="81"/>
      <c r="P26" s="76"/>
      <c r="Q26" s="2"/>
      <c r="R26" s="2"/>
      <c r="S26" s="2"/>
      <c r="T26" s="1"/>
    </row>
    <row r="27" spans="5:20" x14ac:dyDescent="0.25">
      <c r="E27" s="75"/>
      <c r="F27" s="75"/>
      <c r="G27" s="75"/>
      <c r="H27" s="75"/>
      <c r="I27" s="75"/>
      <c r="J27" s="75"/>
      <c r="K27" s="75"/>
      <c r="L27" s="75"/>
      <c r="M27" s="73"/>
      <c r="N27" s="76"/>
      <c r="O27" s="66"/>
      <c r="P27" s="76"/>
      <c r="Q27" s="2" t="s">
        <v>33</v>
      </c>
      <c r="R27" s="13">
        <f>((_xlfn.BITAND(P25,3840))/(2^8))</f>
        <v>0</v>
      </c>
      <c r="S27" s="13" t="str">
        <f>IF(R27&lt;16,CONCATENATE("0x0",(DEC2HEX(R27))),CONCATENATE("0x",(DEC2HEX(R27))))</f>
        <v>0x00</v>
      </c>
      <c r="T27" s="5" t="str">
        <f>DEC2BIN(R27,8)</f>
        <v>00000000</v>
      </c>
    </row>
    <row r="28" spans="5:20" x14ac:dyDescent="0.25">
      <c r="E28" s="57" t="s">
        <v>34</v>
      </c>
      <c r="F28" s="57"/>
      <c r="G28" s="57"/>
      <c r="H28" s="57"/>
      <c r="I28" s="57"/>
      <c r="J28" s="57"/>
      <c r="K28" s="57"/>
      <c r="L28" s="57"/>
      <c r="M28" s="1"/>
      <c r="P28" s="1"/>
      <c r="Q28" s="2"/>
      <c r="R28" s="2"/>
      <c r="S28" s="2"/>
      <c r="T28" s="1"/>
    </row>
    <row r="29" spans="5:20" x14ac:dyDescent="0.25">
      <c r="E29" s="59">
        <v>4</v>
      </c>
      <c r="F29" s="60"/>
      <c r="G29" s="60"/>
      <c r="H29" s="60"/>
      <c r="I29" s="60"/>
      <c r="J29" s="60"/>
      <c r="K29" s="60"/>
      <c r="L29" s="61"/>
      <c r="M29" s="65" t="s">
        <v>5</v>
      </c>
      <c r="N29" s="76">
        <f>(P29*Variables!C1/Variables!C3)*Variables!C2</f>
        <v>4.0005860805860856</v>
      </c>
      <c r="O29" s="73" t="s">
        <v>5</v>
      </c>
      <c r="P29" s="76">
        <f>(IF(E29&lt;0,0,IF(E29&gt;4.8,4095,ROUND((E29/Variables!F3),0))))</f>
        <v>3413</v>
      </c>
      <c r="Q29" s="2" t="s">
        <v>35</v>
      </c>
      <c r="R29" s="13">
        <f>_xlfn.BITAND(P29,255)</f>
        <v>85</v>
      </c>
      <c r="S29" s="13" t="str">
        <f>IF(R29&lt;16,CONCATENATE("0x0",(DEC2HEX(R29))),CONCATENATE("0x",(DEC2HEX(R29))))</f>
        <v>0x55</v>
      </c>
      <c r="T29" s="5" t="str">
        <f>DEC2BIN(R29,8)</f>
        <v>01010101</v>
      </c>
    </row>
    <row r="30" spans="5:20" x14ac:dyDescent="0.25">
      <c r="E30" s="83"/>
      <c r="F30" s="84"/>
      <c r="G30" s="84"/>
      <c r="H30" s="84"/>
      <c r="I30" s="84"/>
      <c r="J30" s="84"/>
      <c r="K30" s="84"/>
      <c r="L30" s="85"/>
      <c r="M30" s="81"/>
      <c r="N30" s="76"/>
      <c r="O30" s="73"/>
      <c r="P30" s="76"/>
      <c r="Q30" s="2"/>
      <c r="R30" s="2"/>
      <c r="S30" s="2"/>
      <c r="T30" s="1"/>
    </row>
    <row r="31" spans="5:20" x14ac:dyDescent="0.25">
      <c r="E31" s="62"/>
      <c r="F31" s="63"/>
      <c r="G31" s="63"/>
      <c r="H31" s="63"/>
      <c r="I31" s="63"/>
      <c r="J31" s="63"/>
      <c r="K31" s="63"/>
      <c r="L31" s="64"/>
      <c r="M31" s="66"/>
      <c r="N31" s="76"/>
      <c r="O31" s="73"/>
      <c r="P31" s="76"/>
      <c r="Q31" s="2" t="s">
        <v>38</v>
      </c>
      <c r="R31" s="13">
        <f>((_xlfn.BITAND(P29,3840))/(2^8))</f>
        <v>13</v>
      </c>
      <c r="S31" s="13" t="str">
        <f>IF(R31&lt;16,CONCATENATE("0x0",(DEC2HEX(R31))),CONCATENATE("0x",(DEC2HEX(R31))))</f>
        <v>0x0D</v>
      </c>
      <c r="T31" s="5" t="str">
        <f>DEC2BIN(R31,8)</f>
        <v>00001101</v>
      </c>
    </row>
    <row r="32" spans="5:20" x14ac:dyDescent="0.25">
      <c r="E32" s="57" t="s">
        <v>36</v>
      </c>
      <c r="F32" s="57"/>
      <c r="G32" s="57"/>
      <c r="H32" s="57"/>
      <c r="I32" s="57"/>
      <c r="J32" s="57"/>
      <c r="K32" s="57"/>
      <c r="L32" s="57"/>
      <c r="M32" s="1"/>
      <c r="P32" s="1"/>
      <c r="Q32" s="2"/>
      <c r="R32" s="2"/>
      <c r="S32" s="2"/>
      <c r="T32" s="1"/>
    </row>
    <row r="33" spans="5:20" x14ac:dyDescent="0.25">
      <c r="E33" s="75">
        <v>0</v>
      </c>
      <c r="F33" s="75"/>
      <c r="G33" s="75"/>
      <c r="H33" s="75"/>
      <c r="I33" s="75"/>
      <c r="J33" s="75"/>
      <c r="K33" s="75"/>
      <c r="L33" s="75"/>
      <c r="M33" s="73" t="s">
        <v>5</v>
      </c>
      <c r="N33" s="76">
        <f>(P33*Variables!C1/Variables!C3)*Variables!C2</f>
        <v>0</v>
      </c>
      <c r="O33" s="73" t="s">
        <v>5</v>
      </c>
      <c r="P33" s="76">
        <f>(IF(E33&lt;0,0,IF(E33&gt;4.8,4095,ROUND((E33/Variables!F3),0))))</f>
        <v>0</v>
      </c>
      <c r="Q33" s="2" t="s">
        <v>37</v>
      </c>
      <c r="R33" s="13">
        <f>_xlfn.BITAND(P33,255)</f>
        <v>0</v>
      </c>
      <c r="S33" s="13" t="str">
        <f>IF(R33&lt;16,CONCATENATE("0x0",(DEC2HEX(R33))),CONCATENATE("0x",(DEC2HEX(R33))))</f>
        <v>0x00</v>
      </c>
      <c r="T33" s="5" t="str">
        <f>DEC2BIN(R33,8)</f>
        <v>00000000</v>
      </c>
    </row>
    <row r="34" spans="5:20" x14ac:dyDescent="0.25">
      <c r="E34" s="75"/>
      <c r="F34" s="75"/>
      <c r="G34" s="75"/>
      <c r="H34" s="75"/>
      <c r="I34" s="75"/>
      <c r="J34" s="75"/>
      <c r="K34" s="75"/>
      <c r="L34" s="75"/>
      <c r="M34" s="73"/>
      <c r="N34" s="76"/>
      <c r="O34" s="73"/>
      <c r="P34" s="76"/>
      <c r="Q34" s="2"/>
      <c r="R34" s="2"/>
      <c r="S34" s="2"/>
      <c r="T34" s="1"/>
    </row>
    <row r="35" spans="5:20" x14ac:dyDescent="0.25">
      <c r="E35" s="75"/>
      <c r="F35" s="75"/>
      <c r="G35" s="75"/>
      <c r="H35" s="75"/>
      <c r="I35" s="75"/>
      <c r="J35" s="75"/>
      <c r="K35" s="75"/>
      <c r="L35" s="75"/>
      <c r="M35" s="73"/>
      <c r="N35" s="76"/>
      <c r="O35" s="73"/>
      <c r="P35" s="76"/>
      <c r="Q35" s="2" t="s">
        <v>39</v>
      </c>
      <c r="R35" s="13">
        <f>((_xlfn.BITAND(P33,3840))/(2^8))</f>
        <v>0</v>
      </c>
      <c r="S35" s="13" t="str">
        <f>IF(R35&lt;16,CONCATENATE("0x0",(DEC2HEX(R35))),CONCATENATE("0x",(DEC2HEX(R35))))</f>
        <v>0x00</v>
      </c>
      <c r="T35" s="5" t="str">
        <f>DEC2BIN(R35,8)</f>
        <v>00000000</v>
      </c>
    </row>
    <row r="36" spans="5:20" x14ac:dyDescent="0.25">
      <c r="E36" s="57" t="s">
        <v>42</v>
      </c>
      <c r="F36" s="57"/>
      <c r="G36" s="57"/>
      <c r="H36" s="57"/>
      <c r="I36" s="57"/>
      <c r="J36" s="57"/>
      <c r="K36" s="57"/>
      <c r="L36" s="57"/>
      <c r="M36" s="1"/>
      <c r="P36" s="1"/>
      <c r="Q36" s="2"/>
      <c r="R36" s="2"/>
      <c r="S36" s="2"/>
      <c r="T36" s="1"/>
    </row>
    <row r="37" spans="5:20" x14ac:dyDescent="0.25">
      <c r="E37" s="54">
        <v>60</v>
      </c>
      <c r="F37" s="55"/>
      <c r="G37" s="55"/>
      <c r="H37" s="55"/>
      <c r="I37" s="55"/>
      <c r="J37" s="55"/>
      <c r="K37" s="55"/>
      <c r="L37" s="56"/>
      <c r="M37" s="16"/>
      <c r="N37" s="22">
        <f>IF(E37&lt;0,"0",IF(E37&gt;1024,"1024",ROUND(E37,0)))</f>
        <v>60</v>
      </c>
      <c r="O37" s="22" t="str">
        <f>N40</f>
        <v>s</v>
      </c>
      <c r="P37" s="23">
        <f>N37</f>
        <v>60</v>
      </c>
      <c r="Q37" s="2" t="s">
        <v>41</v>
      </c>
      <c r="R37" s="13">
        <f>_xlfn.BITAND(P37,255)</f>
        <v>60</v>
      </c>
      <c r="S37" s="13" t="str">
        <f>IF(R37&lt;16,CONCATENATE("0x0",(DEC2HEX(R37))),CONCATENATE("0x",(DEC2HEX(R37))))</f>
        <v>0x3C</v>
      </c>
      <c r="T37" s="5" t="str">
        <f>DEC2BIN(R37,8)</f>
        <v>00111100</v>
      </c>
    </row>
    <row r="38" spans="5:20" x14ac:dyDescent="0.25">
      <c r="E38" s="89" t="s">
        <v>40</v>
      </c>
      <c r="F38" s="90"/>
      <c r="G38" s="90"/>
      <c r="H38" s="90"/>
      <c r="I38" s="90"/>
      <c r="J38" s="90"/>
      <c r="K38" s="90"/>
      <c r="L38" s="91"/>
      <c r="M38" s="11"/>
      <c r="P38" s="11"/>
      <c r="Q38" s="24"/>
      <c r="R38" s="24"/>
      <c r="S38" s="24"/>
      <c r="T38" s="1"/>
    </row>
    <row r="39" spans="5:20" x14ac:dyDescent="0.25">
      <c r="E39" s="86" t="s">
        <v>45</v>
      </c>
      <c r="F39" s="87"/>
      <c r="G39" s="87"/>
      <c r="H39" s="88"/>
      <c r="I39" s="86" t="s">
        <v>46</v>
      </c>
      <c r="J39" s="87"/>
      <c r="K39" s="87"/>
      <c r="L39" s="88"/>
      <c r="M39" s="1"/>
      <c r="P39" s="1"/>
      <c r="Q39" s="2" t="s">
        <v>43</v>
      </c>
      <c r="R39" s="13">
        <f>(P40*4)+((_xlfn.BITAND(P37,768)/2^8))</f>
        <v>8</v>
      </c>
      <c r="S39" s="13" t="str">
        <f>IF(R39&lt;16,CONCATENATE("0x0",(DEC2HEX(R39))),CONCATENATE("0x",(DEC2HEX(R39))))</f>
        <v>0x08</v>
      </c>
      <c r="T39" s="5" t="str">
        <f>DEC2BIN(R39,8)</f>
        <v>00001000</v>
      </c>
    </row>
    <row r="40" spans="5:20" x14ac:dyDescent="0.25">
      <c r="E40" s="54">
        <v>1</v>
      </c>
      <c r="F40" s="55"/>
      <c r="G40" s="55"/>
      <c r="H40" s="56"/>
      <c r="I40" s="72">
        <v>0</v>
      </c>
      <c r="J40" s="72"/>
      <c r="K40" s="72"/>
      <c r="L40" s="72"/>
      <c r="M40" s="21"/>
      <c r="N40" s="13" t="str">
        <f>IF(((E40*2 +I40) = 3),"min",IF((E40*2+I40 = 2), "s",IF((E40*2+I40=1),"ms","us")))</f>
        <v>s</v>
      </c>
      <c r="O40" s="16"/>
      <c r="P40" s="22">
        <f>IF(N40="min",3,IF(N40="s",2,IF(N40="ms",1,0)))</f>
        <v>2</v>
      </c>
      <c r="Q40" s="2"/>
      <c r="R40" s="2"/>
      <c r="S40" s="2"/>
      <c r="T40" s="1"/>
    </row>
    <row r="41" spans="5:20" x14ac:dyDescent="0.25">
      <c r="E41" s="57" t="s">
        <v>201</v>
      </c>
      <c r="F41" s="57"/>
      <c r="G41" s="57"/>
      <c r="H41" s="57"/>
      <c r="I41" s="57"/>
      <c r="J41" s="57"/>
      <c r="K41" s="57"/>
      <c r="L41" s="57"/>
      <c r="M41" s="11"/>
      <c r="P41" s="11"/>
      <c r="Q41" s="24" t="s">
        <v>44</v>
      </c>
      <c r="R41" s="13">
        <f>_xlfn.BITAND(P42,255)</f>
        <v>60</v>
      </c>
      <c r="S41" s="13" t="str">
        <f>IF(R41&lt;16,CONCATENATE("0x0",(DEC2HEX(R41))),CONCATENATE("0x",(DEC2HEX(R41))))</f>
        <v>0x3C</v>
      </c>
      <c r="T41" s="5" t="str">
        <f>DEC2BIN(R41,8)</f>
        <v>00111100</v>
      </c>
    </row>
    <row r="42" spans="5:20" x14ac:dyDescent="0.25">
      <c r="E42" s="72">
        <v>60</v>
      </c>
      <c r="F42" s="72"/>
      <c r="G42" s="72"/>
      <c r="H42" s="72"/>
      <c r="I42" s="72"/>
      <c r="J42" s="72"/>
      <c r="K42" s="72"/>
      <c r="L42" s="72"/>
      <c r="M42" s="16"/>
      <c r="N42" s="22">
        <f>IF(E42&lt;0,"0",IF(E42&gt;1024,"1024",ROUND(E42,0)))</f>
        <v>60</v>
      </c>
      <c r="O42" s="16"/>
      <c r="P42" s="22">
        <f>N42</f>
        <v>60</v>
      </c>
      <c r="Q42" s="2"/>
      <c r="R42" s="2"/>
      <c r="S42" s="2"/>
      <c r="T42" s="1"/>
    </row>
    <row r="43" spans="5:20" x14ac:dyDescent="0.25">
      <c r="E43" s="57" t="s">
        <v>180</v>
      </c>
      <c r="F43" s="57"/>
      <c r="G43" s="57"/>
      <c r="H43" s="57"/>
      <c r="I43" s="57"/>
      <c r="J43" s="57"/>
      <c r="K43" s="57"/>
      <c r="L43" s="57"/>
      <c r="M43" s="11"/>
      <c r="P43" s="11"/>
      <c r="Q43" s="2" t="s">
        <v>47</v>
      </c>
      <c r="R43" s="13">
        <f>(P45*4)+((_xlfn.BITAND(P42,768)/2^8))</f>
        <v>8</v>
      </c>
      <c r="S43" s="13" t="str">
        <f>IF(R43&lt;16,CONCATENATE("0x0",(DEC2HEX(R43))),CONCATENATE("0x",(DEC2HEX(R43))))</f>
        <v>0x08</v>
      </c>
      <c r="T43" s="5" t="str">
        <f>DEC2BIN(R43,8)</f>
        <v>00001000</v>
      </c>
    </row>
    <row r="44" spans="5:20" x14ac:dyDescent="0.25">
      <c r="E44" s="86" t="s">
        <v>82</v>
      </c>
      <c r="F44" s="87"/>
      <c r="G44" s="87"/>
      <c r="H44" s="88"/>
      <c r="I44" s="86" t="s">
        <v>179</v>
      </c>
      <c r="J44" s="87"/>
      <c r="K44" s="87"/>
      <c r="L44" s="88"/>
      <c r="M44" s="11"/>
      <c r="P44" s="11"/>
      <c r="Q44" s="2"/>
      <c r="R44" s="2"/>
      <c r="S44" s="2"/>
      <c r="T44" s="1"/>
    </row>
    <row r="45" spans="5:20" x14ac:dyDescent="0.25">
      <c r="E45" s="75">
        <v>1</v>
      </c>
      <c r="F45" s="75"/>
      <c r="G45" s="75"/>
      <c r="H45" s="75"/>
      <c r="I45" s="75">
        <v>0</v>
      </c>
      <c r="J45" s="75"/>
      <c r="K45" s="75"/>
      <c r="L45" s="75"/>
      <c r="M45" s="16"/>
      <c r="N45" s="22" t="str">
        <f>IF(((E45*2 +I45) = 3),"min",IF((E45*2+I45 = 2), "s",IF((E45*2+I45=1),"ms","us")))</f>
        <v>s</v>
      </c>
      <c r="O45" s="16"/>
      <c r="P45" s="22">
        <f>IF(N45="min",3,IF(N45="s",2,IF(N45="ms",1,0)))</f>
        <v>2</v>
      </c>
      <c r="Q45" s="16"/>
      <c r="R45" s="16"/>
      <c r="S45" s="16"/>
      <c r="T45" s="1"/>
    </row>
    <row r="46" spans="5:20" x14ac:dyDescent="0.25">
      <c r="E46" s="57" t="s">
        <v>49</v>
      </c>
      <c r="F46" s="57"/>
      <c r="G46" s="57"/>
      <c r="H46" s="57"/>
      <c r="I46" s="57"/>
      <c r="J46" s="57"/>
      <c r="K46" s="57"/>
      <c r="L46" s="57"/>
      <c r="M46" s="11"/>
      <c r="P46" s="11"/>
      <c r="Q46" s="24" t="s">
        <v>48</v>
      </c>
      <c r="R46" s="26">
        <f>_xlfn.BITAND(P47,255)</f>
        <v>100</v>
      </c>
      <c r="S46" s="26" t="str">
        <f>IF(R46&lt;16,CONCATENATE("0x0",(DEC2HEX(R46))),CONCATENATE("0x",(DEC2HEX(R46))))</f>
        <v>0x64</v>
      </c>
      <c r="T46" s="5" t="str">
        <f>DEC2BIN(R46,8)</f>
        <v>01100100</v>
      </c>
    </row>
    <row r="47" spans="5:20" x14ac:dyDescent="0.25">
      <c r="E47" s="97">
        <v>100</v>
      </c>
      <c r="F47" s="97"/>
      <c r="G47" s="97"/>
      <c r="H47" s="97"/>
      <c r="I47" s="97"/>
      <c r="J47" s="97"/>
      <c r="K47" s="97"/>
      <c r="L47" s="97"/>
      <c r="M47" s="16"/>
      <c r="N47" s="22">
        <f>IF(E47&lt;0, "0", IF(E47 &gt; 511, "511",ROUND(E47,0)))</f>
        <v>100</v>
      </c>
      <c r="O47" s="22" t="str">
        <f>N49</f>
        <v>ms</v>
      </c>
      <c r="P47" s="22">
        <f>N47</f>
        <v>100</v>
      </c>
      <c r="Q47" s="2"/>
      <c r="R47" s="2"/>
      <c r="S47" s="2"/>
      <c r="T47" s="1"/>
    </row>
    <row r="48" spans="5:20" x14ac:dyDescent="0.25">
      <c r="E48" s="98" t="s">
        <v>50</v>
      </c>
      <c r="F48" s="98"/>
      <c r="G48" s="98"/>
      <c r="H48" s="98"/>
      <c r="I48" s="98"/>
      <c r="J48" s="98"/>
      <c r="K48" s="98"/>
      <c r="L48" s="98"/>
      <c r="M48" s="11"/>
      <c r="P48" s="11"/>
      <c r="Q48" s="2" t="s">
        <v>51</v>
      </c>
      <c r="R48" s="13">
        <f>(P49*2)+((_xlfn.BITAND(P47,256)/2^8))</f>
        <v>2</v>
      </c>
      <c r="S48" s="13" t="str">
        <f>IF(R48&lt;16,CONCATENATE("0x0",(DEC2HEX(R48))),CONCATENATE("0x",(DEC2HEX(R48))))</f>
        <v>0x02</v>
      </c>
      <c r="T48" s="5" t="str">
        <f>DEC2BIN(R48,8)</f>
        <v>00000010</v>
      </c>
    </row>
    <row r="49" spans="5:20" x14ac:dyDescent="0.25">
      <c r="E49" s="72">
        <v>1</v>
      </c>
      <c r="F49" s="72"/>
      <c r="G49" s="72"/>
      <c r="H49" s="72"/>
      <c r="I49" s="72"/>
      <c r="J49" s="72"/>
      <c r="K49" s="72"/>
      <c r="L49" s="72"/>
      <c r="M49" s="20"/>
      <c r="N49" s="13" t="str">
        <f>IF((E49=1),"ms","us")</f>
        <v>ms</v>
      </c>
      <c r="O49" s="2"/>
      <c r="P49" s="13">
        <f>IF(N49="ms",1,0)</f>
        <v>1</v>
      </c>
      <c r="Q49" s="2"/>
      <c r="R49" s="2"/>
      <c r="S49" s="2"/>
      <c r="T49" s="1"/>
    </row>
    <row r="50" spans="5:20" x14ac:dyDescent="0.25">
      <c r="E50" s="99" t="s">
        <v>52</v>
      </c>
      <c r="F50" s="99"/>
      <c r="G50" s="99"/>
      <c r="H50" s="99"/>
      <c r="I50" s="99"/>
      <c r="J50" s="99"/>
      <c r="K50" s="99"/>
      <c r="L50" s="99"/>
      <c r="P50" s="1"/>
      <c r="Q50" s="1"/>
      <c r="R50" s="1"/>
      <c r="S50" s="1"/>
      <c r="T50" s="1"/>
    </row>
    <row r="51" spans="5:20" x14ac:dyDescent="0.25">
      <c r="E51" s="100">
        <v>60</v>
      </c>
      <c r="F51" s="100"/>
      <c r="G51" s="100"/>
      <c r="H51" s="100"/>
      <c r="I51" s="100"/>
      <c r="J51" s="100"/>
      <c r="K51" s="100"/>
      <c r="L51" s="100"/>
      <c r="M51" s="16"/>
      <c r="N51" s="22">
        <f>IF(E51&lt;0, "0", IF(E51 &gt; 1024, "1024",ROUND(E51,0)))</f>
        <v>60</v>
      </c>
      <c r="O51" s="22" t="str">
        <f>N53</f>
        <v>min</v>
      </c>
      <c r="P51" s="23">
        <f>N51</f>
        <v>60</v>
      </c>
      <c r="Q51" s="2" t="s">
        <v>53</v>
      </c>
      <c r="R51" s="13">
        <f>_xlfn.BITAND(P51,255)</f>
        <v>60</v>
      </c>
      <c r="S51" s="13" t="str">
        <f>IF(R51&lt;16,CONCATENATE("0x0",(DEC2HEX(R51))),CONCATENATE("0x",(DEC2HEX(R51))))</f>
        <v>0x3C</v>
      </c>
      <c r="T51" s="5" t="str">
        <f>DEC2BIN(R51,8)</f>
        <v>00111100</v>
      </c>
    </row>
    <row r="52" spans="5:20" x14ac:dyDescent="0.25">
      <c r="E52" s="57" t="s">
        <v>54</v>
      </c>
      <c r="F52" s="57"/>
      <c r="G52" s="57"/>
      <c r="H52" s="57"/>
      <c r="I52" s="57"/>
      <c r="J52" s="57"/>
      <c r="K52" s="57"/>
      <c r="L52" s="57"/>
      <c r="M52" s="1"/>
      <c r="P52" s="1"/>
      <c r="Q52" s="2"/>
      <c r="R52" s="2"/>
      <c r="S52" s="2"/>
      <c r="T52" s="1"/>
    </row>
    <row r="53" spans="5:20" x14ac:dyDescent="0.25">
      <c r="E53" s="92" t="s">
        <v>55</v>
      </c>
      <c r="F53" s="93"/>
      <c r="G53" s="93"/>
      <c r="H53" s="57" t="s">
        <v>56</v>
      </c>
      <c r="I53" s="57"/>
      <c r="J53" s="57"/>
      <c r="K53" s="86" t="s">
        <v>10</v>
      </c>
      <c r="L53" s="88"/>
      <c r="M53" s="20" t="s">
        <v>10</v>
      </c>
      <c r="N53" s="13" t="str">
        <f>IF(((K54*2 +L54) = 3),"min",IF((K54*2+L54 = 2), "s",IF((K54*2+L54=1),"ms","us")))</f>
        <v>min</v>
      </c>
      <c r="O53" s="2"/>
      <c r="P53" s="1"/>
      <c r="Q53" s="2" t="s">
        <v>59</v>
      </c>
      <c r="R53" s="13">
        <f>(P54*4)+((_xlfn.BITAND(P51,768)/2^8))</f>
        <v>124</v>
      </c>
      <c r="S53" s="13" t="str">
        <f>IF(R53&lt;16,CONCATENATE("0x0",(DEC2HEX(R53))),CONCATENATE("0x",(DEC2HEX(R53))))</f>
        <v>0x7C</v>
      </c>
      <c r="T53" s="5" t="str">
        <f>DEC2BIN(R53,8)</f>
        <v>01111100</v>
      </c>
    </row>
    <row r="54" spans="5:20" x14ac:dyDescent="0.25">
      <c r="E54" s="94"/>
      <c r="F54" s="95"/>
      <c r="G54" s="96"/>
      <c r="H54" s="12">
        <v>1</v>
      </c>
      <c r="I54" s="12">
        <v>1</v>
      </c>
      <c r="J54" s="12">
        <v>1</v>
      </c>
      <c r="K54" s="12">
        <v>1</v>
      </c>
      <c r="L54" s="12">
        <v>1</v>
      </c>
      <c r="M54" s="20" t="s">
        <v>57</v>
      </c>
      <c r="N54" s="13">
        <f>IF(AND(H54 = 0,I54=0,J54=0), 4,IF(AND(H54 = 0,I54=0,J54=1),8,IF(AND(H54 = 0,I54=1,J54=0),16,IF(AND(H54 = 0,I54=1,J54=1),24,IF(AND(H54 = 1,I54=0,J54=0),32,IF(AND(H54 = 1,I54=0,J54=1),48,IF(AND(H54 = 1,I54=1,J54=0),64,IF(AND(H54 = 1,I54=1,J54=1),96,"false"))))))))</f>
        <v>96</v>
      </c>
      <c r="O54" s="2" t="s">
        <v>58</v>
      </c>
      <c r="P54" s="5">
        <f>BIN2DEC(CONCATENATE(H54,I54,J54,K54,L54))</f>
        <v>31</v>
      </c>
      <c r="Q54" s="2"/>
      <c r="R54" s="2"/>
      <c r="S54" s="2"/>
      <c r="T54" s="1"/>
    </row>
    <row r="55" spans="5:20" x14ac:dyDescent="0.25">
      <c r="E55" s="57" t="s">
        <v>60</v>
      </c>
      <c r="F55" s="57"/>
      <c r="G55" s="57"/>
      <c r="H55" s="57"/>
      <c r="I55" s="57"/>
      <c r="J55" s="57"/>
      <c r="K55" s="57"/>
      <c r="L55" s="57"/>
      <c r="P55" s="1"/>
      <c r="Q55" s="1"/>
      <c r="R55" s="1"/>
      <c r="S55" s="1"/>
      <c r="T55" s="1"/>
    </row>
    <row r="56" spans="5:20" x14ac:dyDescent="0.25">
      <c r="E56" s="72">
        <v>60</v>
      </c>
      <c r="F56" s="72"/>
      <c r="G56" s="72"/>
      <c r="H56" s="72"/>
      <c r="I56" s="72"/>
      <c r="J56" s="72"/>
      <c r="K56" s="72"/>
      <c r="L56" s="72"/>
      <c r="M56" s="16"/>
      <c r="N56" s="22">
        <f>IF(E56&lt;0, "0", IF(E56 &gt; 1024, "1024",ROUND(E56,0)))</f>
        <v>60</v>
      </c>
      <c r="O56" s="22" t="str">
        <f>N58</f>
        <v>min</v>
      </c>
      <c r="P56" s="23">
        <f>N56</f>
        <v>60</v>
      </c>
      <c r="Q56" s="2" t="s">
        <v>64</v>
      </c>
      <c r="R56" s="13">
        <f>_xlfn.BITAND(P56,255)</f>
        <v>60</v>
      </c>
      <c r="S56" s="13" t="str">
        <f>IF(R56&lt;16,CONCATENATE("0x0",(DEC2HEX(R56))),CONCATENATE("0x",(DEC2HEX(R56))))</f>
        <v>0x3C</v>
      </c>
      <c r="T56" s="5" t="str">
        <f>DEC2BIN(R56,8)</f>
        <v>00111100</v>
      </c>
    </row>
    <row r="57" spans="5:20" x14ac:dyDescent="0.25">
      <c r="E57" s="57" t="s">
        <v>61</v>
      </c>
      <c r="F57" s="57"/>
      <c r="G57" s="57"/>
      <c r="H57" s="57"/>
      <c r="I57" s="57"/>
      <c r="J57" s="57"/>
      <c r="K57" s="57"/>
      <c r="L57" s="57"/>
      <c r="M57" s="1"/>
      <c r="P57" s="1"/>
      <c r="Q57" s="2"/>
      <c r="R57" s="2"/>
      <c r="S57" s="2"/>
      <c r="T57" s="1"/>
    </row>
    <row r="58" spans="5:20" x14ac:dyDescent="0.25">
      <c r="E58" s="92" t="s">
        <v>55</v>
      </c>
      <c r="F58" s="93"/>
      <c r="G58" s="93"/>
      <c r="H58" s="57" t="s">
        <v>56</v>
      </c>
      <c r="I58" s="57"/>
      <c r="J58" s="57"/>
      <c r="K58" s="86" t="s">
        <v>10</v>
      </c>
      <c r="L58" s="88"/>
      <c r="M58" s="20" t="s">
        <v>10</v>
      </c>
      <c r="N58" s="13" t="str">
        <f>IF(((K59*2 +L59) = 3),"min",IF((K59*2+L59 = 2), "s",IF((K59*2+L59=1),"ms","us")))</f>
        <v>min</v>
      </c>
      <c r="O58" s="2"/>
      <c r="P58" s="1"/>
      <c r="Q58" s="2" t="s">
        <v>65</v>
      </c>
      <c r="R58" s="13">
        <f>(P59*4)+((_xlfn.BITAND(P56,768)/2^8))</f>
        <v>124</v>
      </c>
      <c r="S58" s="13" t="str">
        <f>IF(R58&lt;16,CONCATENATE("0x0",(DEC2HEX(R58))),CONCATENATE("0x",(DEC2HEX(R58))))</f>
        <v>0x7C</v>
      </c>
      <c r="T58" s="5" t="str">
        <f>DEC2BIN(R58,8)</f>
        <v>01111100</v>
      </c>
    </row>
    <row r="59" spans="5:20" x14ac:dyDescent="0.25">
      <c r="E59" s="94"/>
      <c r="F59" s="95"/>
      <c r="G59" s="96"/>
      <c r="H59" s="12">
        <v>1</v>
      </c>
      <c r="I59" s="12">
        <v>1</v>
      </c>
      <c r="J59" s="12">
        <v>1</v>
      </c>
      <c r="K59" s="12">
        <v>1</v>
      </c>
      <c r="L59" s="12">
        <v>1</v>
      </c>
      <c r="M59" s="20" t="s">
        <v>57</v>
      </c>
      <c r="N59" s="13">
        <f>IF(AND(H59 = 0,I59=0,J59=0), 1,IF(AND(H59 = 0,I59=0,J59=1),2,IF(AND(H59 = 0,I59=1,J59=0),4,IF(AND(H59 = 0,I59=1,J59=1),6,IF(AND(H59 = 1,I59=0,J59=0),8,IF(AND(H59 = 1,I59=0,J59=1),12,IF(AND(H59 = 1,I59=1,J59=0),16,IF(AND(H59 = 1,I59=1,J59=1),24,"false"))))))))</f>
        <v>24</v>
      </c>
      <c r="O59" s="2" t="s">
        <v>58</v>
      </c>
      <c r="P59" s="5">
        <f>BIN2DEC(CONCATENATE(H59,I59,J59,K59,L59))</f>
        <v>31</v>
      </c>
      <c r="Q59" s="2"/>
      <c r="R59" s="2"/>
      <c r="S59" s="2"/>
      <c r="T59" s="1"/>
    </row>
    <row r="60" spans="5:20" x14ac:dyDescent="0.25">
      <c r="E60" s="57" t="s">
        <v>62</v>
      </c>
      <c r="F60" s="57"/>
      <c r="G60" s="57"/>
      <c r="H60" s="57"/>
      <c r="I60" s="57"/>
      <c r="J60" s="57"/>
      <c r="K60" s="57"/>
      <c r="L60" s="57"/>
      <c r="P60" s="1"/>
      <c r="Q60" s="1"/>
      <c r="R60" s="1"/>
      <c r="S60" s="1"/>
      <c r="T60" s="1"/>
    </row>
    <row r="61" spans="5:20" x14ac:dyDescent="0.25">
      <c r="E61" s="72">
        <v>100</v>
      </c>
      <c r="F61" s="72"/>
      <c r="G61" s="72"/>
      <c r="H61" s="72"/>
      <c r="I61" s="72"/>
      <c r="J61" s="72"/>
      <c r="K61" s="72"/>
      <c r="L61" s="72"/>
      <c r="M61" s="16"/>
      <c r="N61" s="22">
        <f>IF(E61&lt;0, "0", IF(E61 &gt; 1024, "1024",ROUND(E61,0)))</f>
        <v>100</v>
      </c>
      <c r="O61" s="22" t="str">
        <f>N63</f>
        <v>min</v>
      </c>
      <c r="P61" s="23">
        <f>N61</f>
        <v>100</v>
      </c>
      <c r="Q61" s="2" t="s">
        <v>66</v>
      </c>
      <c r="R61" s="13">
        <f>_xlfn.BITAND(P61,255)</f>
        <v>100</v>
      </c>
      <c r="S61" s="13" t="str">
        <f>IF(R61&lt;16,CONCATENATE("0x0",(DEC2HEX(R61))),CONCATENATE("0x",(DEC2HEX(R61))))</f>
        <v>0x64</v>
      </c>
      <c r="T61" s="5" t="str">
        <f>DEC2BIN(R61,8)</f>
        <v>01100100</v>
      </c>
    </row>
    <row r="62" spans="5:20" x14ac:dyDescent="0.25">
      <c r="E62" s="57" t="s">
        <v>63</v>
      </c>
      <c r="F62" s="57"/>
      <c r="G62" s="57"/>
      <c r="H62" s="57"/>
      <c r="I62" s="57"/>
      <c r="J62" s="57"/>
      <c r="K62" s="57"/>
      <c r="L62" s="57"/>
      <c r="M62" s="1"/>
      <c r="P62" s="1"/>
      <c r="Q62" s="2"/>
      <c r="R62" s="2"/>
      <c r="S62" s="2"/>
      <c r="T62" s="1"/>
    </row>
    <row r="63" spans="5:20" x14ac:dyDescent="0.25">
      <c r="E63" s="92" t="s">
        <v>55</v>
      </c>
      <c r="F63" s="93"/>
      <c r="G63" s="93"/>
      <c r="H63" s="57" t="s">
        <v>56</v>
      </c>
      <c r="I63" s="57"/>
      <c r="J63" s="57"/>
      <c r="K63" s="86" t="s">
        <v>10</v>
      </c>
      <c r="L63" s="88"/>
      <c r="M63" s="20" t="s">
        <v>10</v>
      </c>
      <c r="N63" s="13" t="str">
        <f>IF(((K64*2 +L64) = 3),"min",IF((K64*2+L64 = 2), "s",IF((K64*2+L64=1),"ms","us")))</f>
        <v>min</v>
      </c>
      <c r="O63" s="2"/>
      <c r="P63" s="1"/>
      <c r="Q63" s="2" t="s">
        <v>67</v>
      </c>
      <c r="R63" s="13">
        <f>(P64*4)+((_xlfn.BITAND(P61,768)/2^8))</f>
        <v>124</v>
      </c>
      <c r="S63" s="13" t="str">
        <f>IF(R63&lt;16,CONCATENATE("0x0",(DEC2HEX(R63))),CONCATENATE("0x",(DEC2HEX(R63))))</f>
        <v>0x7C</v>
      </c>
      <c r="T63" s="5" t="str">
        <f>DEC2BIN(R63,8)</f>
        <v>01111100</v>
      </c>
    </row>
    <row r="64" spans="5:20" x14ac:dyDescent="0.25">
      <c r="E64" s="102"/>
      <c r="F64" s="103"/>
      <c r="G64" s="104"/>
      <c r="H64" s="28">
        <v>1</v>
      </c>
      <c r="I64" s="28">
        <v>1</v>
      </c>
      <c r="J64" s="28">
        <v>1</v>
      </c>
      <c r="K64" s="28">
        <v>1</v>
      </c>
      <c r="L64" s="28">
        <v>1</v>
      </c>
      <c r="M64" s="20" t="s">
        <v>57</v>
      </c>
      <c r="N64" s="13">
        <f>IF(AND(H64 = 0,I64=0,J64=0), 16,IF(AND(H64 = 0,I64=0,J64=1),24,IF(AND(H64 = 0,I64=1,J64=0),32,IF(AND(H64 = 0,I64=1,J64=1),48,IF(AND(H64 = 1,I64=0,J64=0),64,IF(AND(H64 = 1,I64=0,J64=1),96,IF(AND(H64 = 1,I64=1,J64=0),128,IF(AND(H64 = 1,I64=1,J64=1),256,"false"))))))))</f>
        <v>256</v>
      </c>
      <c r="O64" s="2" t="s">
        <v>58</v>
      </c>
      <c r="P64" s="5">
        <f>BIN2DEC(CONCATENATE(H64,I64,J64,K64,L64))</f>
        <v>31</v>
      </c>
      <c r="Q64" s="2"/>
      <c r="R64" s="2"/>
      <c r="S64" s="2"/>
      <c r="T64" s="1"/>
    </row>
    <row r="65" spans="5:20" x14ac:dyDescent="0.25">
      <c r="E65" s="57" t="s">
        <v>68</v>
      </c>
      <c r="F65" s="57"/>
      <c r="G65" s="57"/>
      <c r="H65" s="57"/>
      <c r="I65" s="57"/>
      <c r="J65" s="57"/>
      <c r="K65" s="57"/>
      <c r="L65" s="57"/>
      <c r="M65" s="1"/>
      <c r="P65" s="1"/>
      <c r="Q65" s="2"/>
      <c r="R65" s="2"/>
      <c r="S65" s="2"/>
      <c r="T65" s="1"/>
    </row>
    <row r="66" spans="5:20" x14ac:dyDescent="0.25">
      <c r="E66" s="75">
        <v>3.3</v>
      </c>
      <c r="F66" s="75"/>
      <c r="G66" s="75"/>
      <c r="H66" s="75"/>
      <c r="I66" s="75"/>
      <c r="J66" s="75"/>
      <c r="K66" s="75"/>
      <c r="L66" s="75"/>
      <c r="M66" s="101" t="s">
        <v>5</v>
      </c>
      <c r="N66" s="76">
        <f>(P66*Variables!C1/Variables!C3)*Variables!C2</f>
        <v>3.2996336996337039</v>
      </c>
      <c r="O66" s="73" t="s">
        <v>5</v>
      </c>
      <c r="P66" s="76">
        <f>(IF(E66&lt;0,0,IF(E66&gt;4.8,4095,ROUND((E66/Variables!F3),0))))</f>
        <v>2815</v>
      </c>
      <c r="Q66" s="20" t="s">
        <v>69</v>
      </c>
      <c r="R66" s="13">
        <f>_xlfn.BITAND(P66,255)</f>
        <v>255</v>
      </c>
      <c r="S66" s="13" t="str">
        <f>IF(R66&lt;16,CONCATENATE("0x0",(DEC2HEX(R66))),CONCATENATE("0x",(DEC2HEX(R66))))</f>
        <v>0xFF</v>
      </c>
      <c r="T66" s="5" t="str">
        <f>DEC2BIN(R66,8)</f>
        <v>11111111</v>
      </c>
    </row>
    <row r="67" spans="5:20" x14ac:dyDescent="0.25">
      <c r="E67" s="75"/>
      <c r="F67" s="75"/>
      <c r="G67" s="75"/>
      <c r="H67" s="75"/>
      <c r="I67" s="75"/>
      <c r="J67" s="75"/>
      <c r="K67" s="75"/>
      <c r="L67" s="75"/>
      <c r="M67" s="101"/>
      <c r="N67" s="76"/>
      <c r="O67" s="73"/>
      <c r="P67" s="76"/>
      <c r="Q67" s="2"/>
      <c r="R67" s="2"/>
      <c r="S67" s="2"/>
      <c r="T67" s="1"/>
    </row>
    <row r="68" spans="5:20" x14ac:dyDescent="0.25">
      <c r="E68" s="75"/>
      <c r="F68" s="75"/>
      <c r="G68" s="75"/>
      <c r="H68" s="75"/>
      <c r="I68" s="75"/>
      <c r="J68" s="75"/>
      <c r="K68" s="75"/>
      <c r="L68" s="75"/>
      <c r="M68" s="101"/>
      <c r="N68" s="76"/>
      <c r="O68" s="73"/>
      <c r="P68" s="76"/>
      <c r="Q68" s="2" t="s">
        <v>70</v>
      </c>
      <c r="R68" s="13">
        <f>((_xlfn.BITAND(P66,3840))/(2^8))</f>
        <v>10</v>
      </c>
      <c r="S68" s="13" t="str">
        <f>IF(R68&lt;16,CONCATENATE("0x0",(DEC2HEX(R68))),CONCATENATE("0x",(DEC2HEX(R68))))</f>
        <v>0x0A</v>
      </c>
      <c r="T68" s="5" t="str">
        <f>DEC2BIN(R68,8)</f>
        <v>00001010</v>
      </c>
    </row>
    <row r="69" spans="5:20" x14ac:dyDescent="0.25">
      <c r="E69" s="57" t="s">
        <v>71</v>
      </c>
      <c r="F69" s="57"/>
      <c r="G69" s="57"/>
      <c r="H69" s="57"/>
      <c r="I69" s="57"/>
      <c r="J69" s="57"/>
      <c r="K69" s="57"/>
      <c r="L69" s="57"/>
      <c r="M69" s="1"/>
      <c r="P69" s="1"/>
      <c r="Q69" s="2"/>
      <c r="R69" s="2"/>
      <c r="S69" s="2"/>
      <c r="T69" s="1"/>
    </row>
    <row r="70" spans="5:20" x14ac:dyDescent="0.25">
      <c r="E70" s="75">
        <v>4.1500000000000004</v>
      </c>
      <c r="F70" s="75"/>
      <c r="G70" s="75"/>
      <c r="H70" s="75"/>
      <c r="I70" s="75"/>
      <c r="J70" s="75"/>
      <c r="K70" s="75"/>
      <c r="L70" s="75"/>
      <c r="M70" s="101" t="s">
        <v>5</v>
      </c>
      <c r="N70" s="76">
        <f>(P70*Variables!C1/Variables!C3)*Variables!C2</f>
        <v>4.1494505494505551</v>
      </c>
      <c r="O70" s="73" t="s">
        <v>5</v>
      </c>
      <c r="P70" s="76">
        <f>(IF(E70&lt;0,0,IF(E70&gt;4.8,4095,ROUND((E70/Variables!F3),0))))</f>
        <v>3540</v>
      </c>
      <c r="Q70" s="20" t="s">
        <v>72</v>
      </c>
      <c r="R70" s="13">
        <f>_xlfn.BITAND(P70,255)</f>
        <v>212</v>
      </c>
      <c r="S70" s="13" t="str">
        <f>IF(R70&lt;16,CONCATENATE("0x0",(DEC2HEX(R70))),CONCATENATE("0x",(DEC2HEX(R70))))</f>
        <v>0xD4</v>
      </c>
      <c r="T70" s="5" t="str">
        <f>DEC2BIN(R70,8)</f>
        <v>11010100</v>
      </c>
    </row>
    <row r="71" spans="5:20" x14ac:dyDescent="0.25">
      <c r="E71" s="75"/>
      <c r="F71" s="75"/>
      <c r="G71" s="75"/>
      <c r="H71" s="75"/>
      <c r="I71" s="75"/>
      <c r="J71" s="75"/>
      <c r="K71" s="75"/>
      <c r="L71" s="75"/>
      <c r="M71" s="101"/>
      <c r="N71" s="76"/>
      <c r="O71" s="73"/>
      <c r="P71" s="76"/>
      <c r="Q71" s="2"/>
      <c r="R71" s="2"/>
      <c r="S71" s="2"/>
      <c r="T71" s="1"/>
    </row>
    <row r="72" spans="5:20" x14ac:dyDescent="0.25">
      <c r="E72" s="75"/>
      <c r="F72" s="75"/>
      <c r="G72" s="75"/>
      <c r="H72" s="75"/>
      <c r="I72" s="75"/>
      <c r="J72" s="75"/>
      <c r="K72" s="75"/>
      <c r="L72" s="75"/>
      <c r="M72" s="101"/>
      <c r="N72" s="76"/>
      <c r="O72" s="73"/>
      <c r="P72" s="76"/>
      <c r="Q72" s="2" t="s">
        <v>73</v>
      </c>
      <c r="R72" s="13">
        <f>((_xlfn.BITAND(P70,3840))/(2^8))</f>
        <v>13</v>
      </c>
      <c r="S72" s="13" t="str">
        <f>IF(R72&lt;16,CONCATENATE("0x0",(DEC2HEX(R72))),CONCATENATE("0x",(DEC2HEX(R72))))</f>
        <v>0x0D</v>
      </c>
      <c r="T72" s="5" t="str">
        <f>DEC2BIN(R72,8)</f>
        <v>00001101</v>
      </c>
    </row>
    <row r="73" spans="5:20" x14ac:dyDescent="0.25">
      <c r="E73" s="57" t="s">
        <v>74</v>
      </c>
      <c r="F73" s="57"/>
      <c r="G73" s="57"/>
      <c r="H73" s="57"/>
      <c r="I73" s="57"/>
      <c r="J73" s="57"/>
      <c r="K73" s="57"/>
      <c r="L73" s="57"/>
      <c r="M73" s="1"/>
      <c r="P73" s="1"/>
      <c r="Q73" s="2"/>
      <c r="R73" s="2"/>
      <c r="S73" s="2"/>
      <c r="T73" s="1"/>
    </row>
    <row r="74" spans="5:20" x14ac:dyDescent="0.25">
      <c r="E74" s="75">
        <v>0.02</v>
      </c>
      <c r="F74" s="75"/>
      <c r="G74" s="75"/>
      <c r="H74" s="75"/>
      <c r="I74" s="75"/>
      <c r="J74" s="75"/>
      <c r="K74" s="75"/>
      <c r="L74" s="75"/>
      <c r="M74" s="101" t="s">
        <v>5</v>
      </c>
      <c r="N74" s="76">
        <f>(P74*Variables!C1/Variables!C3)*Variables!C2</f>
        <v>1.9926739926739951E-2</v>
      </c>
      <c r="O74" s="73" t="s">
        <v>5</v>
      </c>
      <c r="P74" s="76">
        <f>(IF(E74&lt;0,0,IF(E74&gt;4.8,4095,ROUND((E74/Variables!F3),0))))</f>
        <v>17</v>
      </c>
      <c r="Q74" s="20" t="s">
        <v>75</v>
      </c>
      <c r="R74" s="13">
        <f>_xlfn.BITAND(P74,255)</f>
        <v>17</v>
      </c>
      <c r="S74" s="13" t="str">
        <f>IF(R74&lt;16,CONCATENATE("0x0",(DEC2HEX(R74))),CONCATENATE("0x",(DEC2HEX(R74))))</f>
        <v>0x11</v>
      </c>
      <c r="T74" s="5" t="str">
        <f>DEC2BIN(R74,8)</f>
        <v>00010001</v>
      </c>
    </row>
    <row r="75" spans="5:20" x14ac:dyDescent="0.25">
      <c r="E75" s="75"/>
      <c r="F75" s="75"/>
      <c r="G75" s="75"/>
      <c r="H75" s="75"/>
      <c r="I75" s="75"/>
      <c r="J75" s="75"/>
      <c r="K75" s="75"/>
      <c r="L75" s="75"/>
      <c r="M75" s="101"/>
      <c r="N75" s="76"/>
      <c r="O75" s="73"/>
      <c r="P75" s="76"/>
      <c r="Q75" s="2"/>
      <c r="R75" s="2"/>
      <c r="S75" s="2"/>
      <c r="T75" s="1"/>
    </row>
    <row r="76" spans="5:20" x14ac:dyDescent="0.25">
      <c r="E76" s="75"/>
      <c r="F76" s="75"/>
      <c r="G76" s="75"/>
      <c r="H76" s="75"/>
      <c r="I76" s="75"/>
      <c r="J76" s="75"/>
      <c r="K76" s="75"/>
      <c r="L76" s="75"/>
      <c r="M76" s="101"/>
      <c r="N76" s="76"/>
      <c r="O76" s="73"/>
      <c r="P76" s="76"/>
      <c r="Q76" s="2" t="s">
        <v>76</v>
      </c>
      <c r="R76" s="13">
        <f>((_xlfn.BITAND(P74,3840))/(2^8))</f>
        <v>0</v>
      </c>
      <c r="S76" s="13" t="str">
        <f>IF(R76&lt;16,CONCATENATE("0x0",(DEC2HEX(R76))),CONCATENATE("0x",(DEC2HEX(R76))))</f>
        <v>0x00</v>
      </c>
      <c r="T76" s="5" t="str">
        <f>DEC2BIN(R76,8)</f>
        <v>00000000</v>
      </c>
    </row>
    <row r="77" spans="5:20" x14ac:dyDescent="0.25">
      <c r="E77" s="57" t="s">
        <v>77</v>
      </c>
      <c r="F77" s="57"/>
      <c r="G77" s="57"/>
      <c r="H77" s="57"/>
      <c r="I77" s="57"/>
      <c r="J77" s="57"/>
      <c r="K77" s="57"/>
      <c r="L77" s="57"/>
      <c r="M77" s="1"/>
      <c r="P77" s="1"/>
      <c r="Q77" s="2"/>
      <c r="R77" s="2"/>
      <c r="S77" s="2"/>
      <c r="T77" s="1"/>
    </row>
    <row r="78" spans="5:20" x14ac:dyDescent="0.25">
      <c r="E78" s="75">
        <v>5</v>
      </c>
      <c r="F78" s="75"/>
      <c r="G78" s="75"/>
      <c r="H78" s="75"/>
      <c r="I78" s="75"/>
      <c r="J78" s="75"/>
      <c r="K78" s="75"/>
      <c r="L78" s="75"/>
      <c r="M78" s="101" t="s">
        <v>5</v>
      </c>
      <c r="N78" s="76">
        <f>(P78*Variables!C1/Variables!C3)*Variables!C2</f>
        <v>4.800000000000006</v>
      </c>
      <c r="O78" s="73" t="s">
        <v>5</v>
      </c>
      <c r="P78" s="76">
        <f>(IF(E78&lt;0,0,IF(E78&gt;4.8,4095,ROUND((E78/Variables!F3),0))))</f>
        <v>4095</v>
      </c>
      <c r="Q78" s="20" t="s">
        <v>78</v>
      </c>
      <c r="R78" s="13">
        <f>_xlfn.BITAND(P78,255)</f>
        <v>255</v>
      </c>
      <c r="S78" s="13" t="str">
        <f>IF(R78&lt;16,CONCATENATE("0x0",(DEC2HEX(R78))),CONCATENATE("0x",(DEC2HEX(R78))))</f>
        <v>0xFF</v>
      </c>
      <c r="T78" s="5" t="str">
        <f>DEC2BIN(R78,8)</f>
        <v>11111111</v>
      </c>
    </row>
    <row r="79" spans="5:20" x14ac:dyDescent="0.25">
      <c r="E79" s="75"/>
      <c r="F79" s="75"/>
      <c r="G79" s="75"/>
      <c r="H79" s="75"/>
      <c r="I79" s="75"/>
      <c r="J79" s="75"/>
      <c r="K79" s="75"/>
      <c r="L79" s="75"/>
      <c r="M79" s="101"/>
      <c r="N79" s="76"/>
      <c r="O79" s="73"/>
      <c r="P79" s="76"/>
      <c r="Q79" s="2"/>
      <c r="R79" s="2"/>
      <c r="S79" s="2"/>
      <c r="T79" s="1"/>
    </row>
    <row r="80" spans="5:20" x14ac:dyDescent="0.25">
      <c r="E80" s="75"/>
      <c r="F80" s="75"/>
      <c r="G80" s="75"/>
      <c r="H80" s="75"/>
      <c r="I80" s="75"/>
      <c r="J80" s="75"/>
      <c r="K80" s="75"/>
      <c r="L80" s="75"/>
      <c r="M80" s="101"/>
      <c r="N80" s="76"/>
      <c r="O80" s="73"/>
      <c r="P80" s="76"/>
      <c r="Q80" s="2" t="s">
        <v>79</v>
      </c>
      <c r="R80" s="13">
        <f>((_xlfn.BITAND(P78,3840))/(2^8))</f>
        <v>15</v>
      </c>
      <c r="S80" s="13" t="str">
        <f>IF(R80&lt;16,CONCATENATE("0x0",(DEC2HEX(R80))),CONCATENATE("0x",(DEC2HEX(R80))))</f>
        <v>0x0F</v>
      </c>
      <c r="T80" s="5" t="str">
        <f>DEC2BIN(R80,8)</f>
        <v>00001111</v>
      </c>
    </row>
    <row r="81" spans="4:20" x14ac:dyDescent="0.25">
      <c r="E81" s="57" t="s">
        <v>80</v>
      </c>
      <c r="F81" s="57"/>
      <c r="G81" s="57"/>
      <c r="H81" s="57"/>
      <c r="I81" s="57"/>
      <c r="J81" s="57"/>
      <c r="K81" s="57"/>
      <c r="L81" s="57"/>
      <c r="M81" s="11"/>
      <c r="P81" s="11"/>
      <c r="Q81" s="24"/>
      <c r="R81" s="2"/>
      <c r="S81" s="2"/>
      <c r="T81" s="1"/>
    </row>
    <row r="82" spans="4:20" x14ac:dyDescent="0.25">
      <c r="E82" s="72">
        <v>2</v>
      </c>
      <c r="F82" s="72"/>
      <c r="G82" s="72"/>
      <c r="H82" s="72"/>
      <c r="I82" s="72"/>
      <c r="J82" s="72"/>
      <c r="K82" s="72"/>
      <c r="L82" s="72"/>
      <c r="M82" s="16"/>
      <c r="N82" s="22">
        <f>IF(E82&lt;0, "0", IF(E82 &gt; 1024, "1024",ROUND(E82,0)))</f>
        <v>2</v>
      </c>
      <c r="O82" s="22" t="str">
        <f>N85</f>
        <v>s</v>
      </c>
      <c r="P82" s="22">
        <f>N82</f>
        <v>2</v>
      </c>
      <c r="Q82" s="2"/>
      <c r="R82" s="2"/>
      <c r="S82" s="2"/>
      <c r="T82" s="1"/>
    </row>
    <row r="83" spans="4:20" x14ac:dyDescent="0.25">
      <c r="E83" s="86" t="s">
        <v>85</v>
      </c>
      <c r="F83" s="87"/>
      <c r="G83" s="87"/>
      <c r="H83" s="87"/>
      <c r="I83" s="87"/>
      <c r="J83" s="87"/>
      <c r="K83" s="87"/>
      <c r="L83" s="88"/>
      <c r="M83" s="11"/>
      <c r="P83" s="11"/>
      <c r="Q83" s="2" t="s">
        <v>83</v>
      </c>
      <c r="R83" s="13">
        <f>_xlfn.BITAND(P82,255)</f>
        <v>2</v>
      </c>
      <c r="S83" s="13" t="str">
        <f>IF(R83&lt;16,CONCATENATE("0x0",(DEC2HEX(R83))),CONCATENATE("0x",(DEC2HEX(R83))))</f>
        <v>0x02</v>
      </c>
      <c r="T83" s="5" t="str">
        <f>DEC2BIN(R83,8)</f>
        <v>00000010</v>
      </c>
    </row>
    <row r="84" spans="4:20" x14ac:dyDescent="0.25">
      <c r="E84" s="86" t="s">
        <v>81</v>
      </c>
      <c r="F84" s="87"/>
      <c r="G84" s="87"/>
      <c r="H84" s="88"/>
      <c r="I84" s="86" t="s">
        <v>181</v>
      </c>
      <c r="J84" s="87"/>
      <c r="K84" s="87"/>
      <c r="L84" s="88"/>
      <c r="M84" s="11"/>
      <c r="P84" s="11"/>
      <c r="Q84" s="2"/>
      <c r="R84" s="2"/>
      <c r="S84" s="2"/>
      <c r="T84" s="1"/>
    </row>
    <row r="85" spans="4:20" x14ac:dyDescent="0.25">
      <c r="E85" s="75">
        <v>1</v>
      </c>
      <c r="F85" s="75"/>
      <c r="G85" s="75"/>
      <c r="H85" s="75"/>
      <c r="I85" s="75">
        <v>0</v>
      </c>
      <c r="J85" s="75"/>
      <c r="K85" s="75"/>
      <c r="L85" s="75"/>
      <c r="M85" s="16"/>
      <c r="N85" s="22" t="str">
        <f>IF(((E85*2 +I85) = 3),"min",IF((E85*2+I85 = 2), "s",IF((E85*2+I85=1),"ms","us")))</f>
        <v>s</v>
      </c>
      <c r="O85" s="16"/>
      <c r="P85" s="22">
        <f>IF(N85="min",3,IF(N85="s",2,IF(N85="ms",1,0)))</f>
        <v>2</v>
      </c>
      <c r="Q85" s="16" t="s">
        <v>84</v>
      </c>
      <c r="R85" s="22">
        <f>(P85*4)+((_xlfn.BITAND(P82,768)/2^8))</f>
        <v>8</v>
      </c>
      <c r="S85" s="22" t="str">
        <f>IF(R85&lt;16,CONCATENATE("0x0",(DEC2HEX(R85))),CONCATENATE("0x",(DEC2HEX(R85))))</f>
        <v>0x08</v>
      </c>
      <c r="T85" s="5" t="str">
        <f>DEC2BIN(R85,8)</f>
        <v>00001000</v>
      </c>
    </row>
    <row r="86" spans="4:20" x14ac:dyDescent="0.25">
      <c r="E86" s="57" t="s">
        <v>86</v>
      </c>
      <c r="F86" s="57"/>
      <c r="G86" s="57"/>
      <c r="H86" s="57"/>
      <c r="I86" s="57"/>
      <c r="J86" s="57"/>
      <c r="K86" s="57"/>
      <c r="L86" s="57"/>
      <c r="M86" s="11"/>
      <c r="P86" s="11"/>
      <c r="Q86" s="24"/>
      <c r="R86" s="2"/>
      <c r="S86" s="2"/>
      <c r="T86" s="1"/>
    </row>
    <row r="87" spans="4:20" x14ac:dyDescent="0.25">
      <c r="E87" s="72">
        <v>2</v>
      </c>
      <c r="F87" s="72"/>
      <c r="G87" s="72"/>
      <c r="H87" s="72"/>
      <c r="I87" s="72"/>
      <c r="J87" s="72"/>
      <c r="K87" s="72"/>
      <c r="L87" s="72"/>
      <c r="M87" s="16"/>
      <c r="N87" s="22">
        <f>IF(E87&lt;0, "0", IF(E87 &gt; 1024, "1024",ROUND(E87,0)))</f>
        <v>2</v>
      </c>
      <c r="O87" s="16"/>
      <c r="P87" s="22">
        <f>N87</f>
        <v>2</v>
      </c>
      <c r="Q87" s="2"/>
      <c r="R87" s="2"/>
      <c r="S87" s="2"/>
      <c r="T87" s="1"/>
    </row>
    <row r="88" spans="4:20" x14ac:dyDescent="0.25">
      <c r="E88" s="86" t="s">
        <v>87</v>
      </c>
      <c r="F88" s="87"/>
      <c r="G88" s="87"/>
      <c r="H88" s="87"/>
      <c r="I88" s="87"/>
      <c r="J88" s="87"/>
      <c r="K88" s="87"/>
      <c r="L88" s="88"/>
      <c r="M88" s="11"/>
      <c r="P88" s="11"/>
      <c r="Q88" s="2" t="s">
        <v>90</v>
      </c>
      <c r="R88" s="13">
        <f>_xlfn.BITAND(P87,255)</f>
        <v>2</v>
      </c>
      <c r="S88" s="13" t="str">
        <f>IF(R88&lt;16,CONCATENATE("0x0",(DEC2HEX(R88))),CONCATENATE("0x",(DEC2HEX(R88))))</f>
        <v>0x02</v>
      </c>
      <c r="T88" s="5" t="str">
        <f>DEC2BIN(R88,8)</f>
        <v>00000010</v>
      </c>
    </row>
    <row r="89" spans="4:20" x14ac:dyDescent="0.25">
      <c r="E89" s="86" t="s">
        <v>183</v>
      </c>
      <c r="F89" s="87"/>
      <c r="G89" s="87"/>
      <c r="H89" s="88"/>
      <c r="I89" s="86" t="s">
        <v>182</v>
      </c>
      <c r="J89" s="87"/>
      <c r="K89" s="87"/>
      <c r="L89" s="88"/>
      <c r="M89" s="11"/>
      <c r="P89" s="11"/>
      <c r="Q89" s="2"/>
      <c r="R89" s="2"/>
      <c r="S89" s="2"/>
      <c r="T89" s="1"/>
    </row>
    <row r="90" spans="4:20" x14ac:dyDescent="0.25">
      <c r="E90" s="75">
        <v>1</v>
      </c>
      <c r="F90" s="75"/>
      <c r="G90" s="75"/>
      <c r="H90" s="75"/>
      <c r="I90" s="75">
        <v>0</v>
      </c>
      <c r="J90" s="75"/>
      <c r="K90" s="75"/>
      <c r="L90" s="75"/>
      <c r="M90" s="16"/>
      <c r="N90" s="22" t="str">
        <f>IF(((E90*2 +I90) = 3),"min",IF((E90*2+I90 = 2), "s",IF((E90*2+I90=1),"ms","us")))</f>
        <v>s</v>
      </c>
      <c r="O90" s="16"/>
      <c r="P90" s="22">
        <f>IF(N90="min",3,IF(N90="s",2,IF(N90="ms",1,0)))</f>
        <v>2</v>
      </c>
      <c r="Q90" s="16" t="s">
        <v>91</v>
      </c>
      <c r="R90" s="22">
        <f>(P90*4)+((_xlfn.BITAND(P87,768)/2^8))</f>
        <v>8</v>
      </c>
      <c r="S90" s="22" t="str">
        <f>IF(R90&lt;16,CONCATENATE("0x0",(DEC2HEX(R90))),CONCATENATE("0x",(DEC2HEX(R90))))</f>
        <v>0x08</v>
      </c>
      <c r="T90" s="5" t="str">
        <f>DEC2BIN(R90,8)</f>
        <v>00001000</v>
      </c>
    </row>
    <row r="91" spans="4:20" x14ac:dyDescent="0.25">
      <c r="E91" s="73" t="s">
        <v>89</v>
      </c>
      <c r="F91" s="73"/>
      <c r="G91" s="73"/>
      <c r="H91" s="73"/>
      <c r="I91" s="73"/>
      <c r="J91" s="73"/>
      <c r="K91" s="73"/>
      <c r="L91" s="73"/>
      <c r="M91" s="1"/>
      <c r="P91" s="1"/>
      <c r="Q91" s="2"/>
      <c r="R91" s="2"/>
      <c r="S91" s="2"/>
      <c r="T91" s="1"/>
    </row>
    <row r="92" spans="4:20" x14ac:dyDescent="0.25">
      <c r="E92" s="75">
        <v>0</v>
      </c>
      <c r="F92" s="75"/>
      <c r="G92" s="75"/>
      <c r="H92" s="75"/>
      <c r="I92" s="75"/>
      <c r="J92" s="75"/>
      <c r="K92" s="75"/>
      <c r="L92" s="75"/>
      <c r="M92" s="101" t="s">
        <v>5</v>
      </c>
      <c r="N92" s="76">
        <f>(P92*Variables!C1/Variables!C3)</f>
        <v>0</v>
      </c>
      <c r="O92" s="101" t="s">
        <v>5</v>
      </c>
      <c r="P92" s="76">
        <f>(IF(E92&lt;0,0,IF(E92&gt;1.8,4095,ROUND(((E92*4095)/1.8),0))))</f>
        <v>0</v>
      </c>
      <c r="Q92" s="2" t="s">
        <v>92</v>
      </c>
      <c r="R92" s="13">
        <f>_xlfn.BITAND(P92,255)</f>
        <v>0</v>
      </c>
      <c r="S92" s="13" t="str">
        <f>IF(R92&lt;16,CONCATENATE("0x0",(DEC2HEX(R92))),CONCATENATE("0x",(DEC2HEX(R92))))</f>
        <v>0x00</v>
      </c>
      <c r="T92" s="5" t="str">
        <f>DEC2BIN(R92,8)</f>
        <v>00000000</v>
      </c>
    </row>
    <row r="93" spans="4:20" x14ac:dyDescent="0.25">
      <c r="D93" t="s">
        <v>202</v>
      </c>
      <c r="E93" s="75"/>
      <c r="F93" s="75"/>
      <c r="G93" s="75"/>
      <c r="H93" s="75"/>
      <c r="I93" s="75"/>
      <c r="J93" s="75"/>
      <c r="K93" s="75"/>
      <c r="L93" s="75"/>
      <c r="M93" s="101"/>
      <c r="N93" s="76"/>
      <c r="O93" s="101"/>
      <c r="P93" s="76"/>
      <c r="Q93" s="2"/>
      <c r="R93" s="2"/>
      <c r="S93" s="2"/>
      <c r="T93" s="2"/>
    </row>
    <row r="94" spans="4:20" x14ac:dyDescent="0.25">
      <c r="E94" s="75"/>
      <c r="F94" s="75"/>
      <c r="G94" s="75"/>
      <c r="H94" s="75"/>
      <c r="I94" s="75"/>
      <c r="J94" s="75"/>
      <c r="K94" s="75"/>
      <c r="L94" s="75"/>
      <c r="M94" s="101"/>
      <c r="N94" s="76"/>
      <c r="O94" s="101"/>
      <c r="P94" s="76"/>
      <c r="Q94" s="2" t="s">
        <v>93</v>
      </c>
      <c r="R94" s="13">
        <f>((_xlfn.BITAND(P92,3840))/(2^8))</f>
        <v>0</v>
      </c>
      <c r="S94" s="13" t="str">
        <f>IF(R94&lt;16,CONCATENATE("0x0",(DEC2HEX(R94))),CONCATENATE("0x",(DEC2HEX(R94))))</f>
        <v>0x00</v>
      </c>
      <c r="T94" s="5" t="str">
        <f>DEC2BIN(R94,8)</f>
        <v>00000000</v>
      </c>
    </row>
    <row r="95" spans="4:20" x14ac:dyDescent="0.25">
      <c r="E95" s="73" t="s">
        <v>94</v>
      </c>
      <c r="F95" s="73"/>
      <c r="G95" s="73"/>
      <c r="H95" s="73"/>
      <c r="I95" s="73"/>
      <c r="J95" s="73"/>
      <c r="K95" s="73"/>
      <c r="L95" s="73"/>
      <c r="M95" s="1"/>
      <c r="P95" s="1"/>
      <c r="Q95" s="2"/>
      <c r="R95" s="2"/>
      <c r="S95" s="2"/>
      <c r="T95" s="1"/>
    </row>
    <row r="96" spans="4:20" x14ac:dyDescent="0.25">
      <c r="E96" s="75">
        <v>0</v>
      </c>
      <c r="F96" s="75"/>
      <c r="G96" s="75"/>
      <c r="H96" s="75"/>
      <c r="I96" s="75"/>
      <c r="J96" s="75"/>
      <c r="K96" s="75"/>
      <c r="L96" s="75"/>
      <c r="M96" s="101" t="s">
        <v>5</v>
      </c>
      <c r="N96" s="76">
        <f>(P96*Variables!C1/Variables!C3)</f>
        <v>0</v>
      </c>
      <c r="O96" s="101" t="s">
        <v>5</v>
      </c>
      <c r="P96" s="76">
        <f>(IF(E96&lt;0,0,IF(E96&gt;1.8,4095,ROUND(((E96*4095)/1.8),0))))</f>
        <v>0</v>
      </c>
      <c r="Q96" s="2" t="s">
        <v>95</v>
      </c>
      <c r="R96" s="13">
        <f>_xlfn.BITAND(P96,255)</f>
        <v>0</v>
      </c>
      <c r="S96" s="13" t="str">
        <f>IF(R96&lt;16,CONCATENATE("0x0",(DEC2HEX(R96))),CONCATENATE("0x",(DEC2HEX(R96))))</f>
        <v>0x00</v>
      </c>
      <c r="T96" s="5" t="str">
        <f>DEC2BIN(R96,8)</f>
        <v>00000000</v>
      </c>
    </row>
    <row r="97" spans="4:20" x14ac:dyDescent="0.25">
      <c r="D97" t="s">
        <v>203</v>
      </c>
      <c r="E97" s="75"/>
      <c r="F97" s="75"/>
      <c r="G97" s="75"/>
      <c r="H97" s="75"/>
      <c r="I97" s="75"/>
      <c r="J97" s="75"/>
      <c r="K97" s="75"/>
      <c r="L97" s="75"/>
      <c r="M97" s="101"/>
      <c r="N97" s="76"/>
      <c r="O97" s="101"/>
      <c r="P97" s="76"/>
      <c r="Q97" s="2"/>
      <c r="R97" s="1"/>
      <c r="S97" s="1"/>
      <c r="T97" s="1"/>
    </row>
    <row r="98" spans="4:20" x14ac:dyDescent="0.25">
      <c r="E98" s="75"/>
      <c r="F98" s="75"/>
      <c r="G98" s="75"/>
      <c r="H98" s="75"/>
      <c r="I98" s="75"/>
      <c r="J98" s="75"/>
      <c r="K98" s="75"/>
      <c r="L98" s="75"/>
      <c r="M98" s="101"/>
      <c r="N98" s="76"/>
      <c r="O98" s="101"/>
      <c r="P98" s="76"/>
      <c r="Q98" s="2" t="s">
        <v>96</v>
      </c>
      <c r="R98" s="13">
        <f>((_xlfn.BITAND(P96,3840))/(2^8))</f>
        <v>0</v>
      </c>
      <c r="S98" s="13" t="str">
        <f>IF(R98&lt;16,CONCATENATE("0x0",(DEC2HEX(R98))),CONCATENATE("0x",(DEC2HEX(R98))))</f>
        <v>0x00</v>
      </c>
      <c r="T98" s="5" t="str">
        <f>DEC2BIN(R98,8)</f>
        <v>00000000</v>
      </c>
    </row>
    <row r="99" spans="4:20" x14ac:dyDescent="0.25">
      <c r="E99" s="73" t="s">
        <v>100</v>
      </c>
      <c r="F99" s="73"/>
      <c r="G99" s="73"/>
      <c r="H99" s="73"/>
      <c r="I99" s="73"/>
      <c r="J99" s="73"/>
      <c r="K99" s="73"/>
      <c r="L99" s="73"/>
      <c r="M99" s="1"/>
      <c r="P99" s="1"/>
      <c r="Q99" s="2"/>
      <c r="R99" s="2"/>
      <c r="S99" s="2"/>
      <c r="T99" s="1"/>
    </row>
    <row r="100" spans="4:20" x14ac:dyDescent="0.25">
      <c r="E100" s="75">
        <v>5</v>
      </c>
      <c r="F100" s="75"/>
      <c r="G100" s="75"/>
      <c r="H100" s="75"/>
      <c r="I100" s="75"/>
      <c r="J100" s="75"/>
      <c r="K100" s="75"/>
      <c r="L100" s="75"/>
      <c r="M100" s="101" t="s">
        <v>5</v>
      </c>
      <c r="N100" s="76">
        <f>(P100*Variables!C1/Variables!C3)</f>
        <v>1.8</v>
      </c>
      <c r="O100" s="101" t="s">
        <v>5</v>
      </c>
      <c r="P100" s="76">
        <f>(IF(E100&lt;0,0,IF(E100&gt;1.8,4095,ROUND(((E100*4095)/1.8),0))))</f>
        <v>4095</v>
      </c>
      <c r="Q100" s="2" t="s">
        <v>97</v>
      </c>
      <c r="R100" s="13">
        <f>_xlfn.BITAND(P100,255)</f>
        <v>255</v>
      </c>
      <c r="S100" s="13" t="str">
        <f>IF(R100&lt;16,CONCATENATE("0x0",(DEC2HEX(R100))),CONCATENATE("0x",(DEC2HEX(R100))))</f>
        <v>0xFF</v>
      </c>
      <c r="T100" s="5" t="str">
        <f>DEC2BIN(R100,8)</f>
        <v>11111111</v>
      </c>
    </row>
    <row r="101" spans="4:20" x14ac:dyDescent="0.25">
      <c r="D101" t="s">
        <v>204</v>
      </c>
      <c r="E101" s="75"/>
      <c r="F101" s="75"/>
      <c r="G101" s="75"/>
      <c r="H101" s="75"/>
      <c r="I101" s="75"/>
      <c r="J101" s="75"/>
      <c r="K101" s="75"/>
      <c r="L101" s="75"/>
      <c r="M101" s="101"/>
      <c r="N101" s="76"/>
      <c r="O101" s="101"/>
      <c r="P101" s="76"/>
      <c r="Q101" s="2"/>
      <c r="R101" s="1"/>
      <c r="S101" s="1"/>
      <c r="T101" s="1"/>
    </row>
    <row r="102" spans="4:20" x14ac:dyDescent="0.25">
      <c r="E102" s="75"/>
      <c r="F102" s="75"/>
      <c r="G102" s="75"/>
      <c r="H102" s="75"/>
      <c r="I102" s="75"/>
      <c r="J102" s="75"/>
      <c r="K102" s="75"/>
      <c r="L102" s="75"/>
      <c r="M102" s="101"/>
      <c r="N102" s="76"/>
      <c r="O102" s="101"/>
      <c r="P102" s="76"/>
      <c r="Q102" s="2" t="s">
        <v>98</v>
      </c>
      <c r="R102" s="13">
        <f>((_xlfn.BITAND(P100,3840))/(2^8))</f>
        <v>15</v>
      </c>
      <c r="S102" s="13" t="str">
        <f>IF(R102&lt;16,CONCATENATE("0x0",(DEC2HEX(R102))),CONCATENATE("0x",(DEC2HEX(R102))))</f>
        <v>0x0F</v>
      </c>
      <c r="T102" s="5" t="str">
        <f>DEC2BIN(R102,8)</f>
        <v>00001111</v>
      </c>
    </row>
    <row r="103" spans="4:20" x14ac:dyDescent="0.25">
      <c r="E103" s="73" t="s">
        <v>101</v>
      </c>
      <c r="F103" s="73"/>
      <c r="G103" s="73"/>
      <c r="H103" s="73"/>
      <c r="I103" s="73"/>
      <c r="J103" s="73"/>
      <c r="K103" s="73"/>
      <c r="L103" s="73"/>
      <c r="M103" s="1"/>
      <c r="P103" s="9"/>
      <c r="Q103" s="19"/>
      <c r="R103" s="19"/>
      <c r="S103" s="2"/>
      <c r="T103" s="1"/>
    </row>
    <row r="104" spans="4:20" x14ac:dyDescent="0.25">
      <c r="E104" s="75">
        <v>5</v>
      </c>
      <c r="F104" s="75"/>
      <c r="G104" s="75"/>
      <c r="H104" s="75"/>
      <c r="I104" s="75"/>
      <c r="J104" s="75"/>
      <c r="K104" s="75"/>
      <c r="L104" s="75"/>
      <c r="M104" s="101" t="s">
        <v>5</v>
      </c>
      <c r="N104" s="76">
        <f>(P104*Variables!C1/Variables!C3)</f>
        <v>1.8</v>
      </c>
      <c r="O104" s="105" t="s">
        <v>5</v>
      </c>
      <c r="P104" s="76">
        <f>(IF(E104&lt;0,0,IF(E104&gt;1.8,4095,ROUND(((E104*4095)/1.8),0))))</f>
        <v>4095</v>
      </c>
      <c r="Q104" s="2" t="s">
        <v>99</v>
      </c>
      <c r="R104" s="13">
        <f>_xlfn.BITAND(P104,255)</f>
        <v>255</v>
      </c>
      <c r="S104" s="27" t="str">
        <f>IF(R104&lt;16,CONCATENATE("0x0",(DEC2HEX(R104))),CONCATENATE("0x",(DEC2HEX(R104))))</f>
        <v>0xFF</v>
      </c>
      <c r="T104" s="5" t="str">
        <f>DEC2BIN(R104,8)</f>
        <v>11111111</v>
      </c>
    </row>
    <row r="105" spans="4:20" x14ac:dyDescent="0.25">
      <c r="D105" t="s">
        <v>205</v>
      </c>
      <c r="E105" s="75"/>
      <c r="F105" s="75"/>
      <c r="G105" s="75"/>
      <c r="H105" s="75"/>
      <c r="I105" s="75"/>
      <c r="J105" s="75"/>
      <c r="K105" s="75"/>
      <c r="L105" s="75"/>
      <c r="M105" s="101"/>
      <c r="N105" s="76"/>
      <c r="O105" s="105"/>
      <c r="P105" s="76"/>
      <c r="Q105" s="2"/>
      <c r="R105" s="1"/>
      <c r="S105" s="6"/>
      <c r="T105" s="1"/>
    </row>
    <row r="106" spans="4:20" x14ac:dyDescent="0.25">
      <c r="E106" s="75"/>
      <c r="F106" s="75"/>
      <c r="G106" s="75"/>
      <c r="H106" s="75"/>
      <c r="I106" s="75"/>
      <c r="J106" s="75"/>
      <c r="K106" s="75"/>
      <c r="L106" s="75"/>
      <c r="M106" s="101"/>
      <c r="N106" s="76"/>
      <c r="O106" s="105"/>
      <c r="P106" s="76"/>
      <c r="Q106" s="2" t="s">
        <v>105</v>
      </c>
      <c r="R106" s="13">
        <f>((_xlfn.BITAND(P104,3840))/(2^8))</f>
        <v>15</v>
      </c>
      <c r="S106" s="27" t="str">
        <f>IF(R106&lt;16,CONCATENATE("0x0",(DEC2HEX(R106))),CONCATENATE("0x",(DEC2HEX(R106))))</f>
        <v>0x0F</v>
      </c>
      <c r="T106" s="5" t="str">
        <f>DEC2BIN(R106,8)</f>
        <v>00001111</v>
      </c>
    </row>
    <row r="107" spans="4:20" x14ac:dyDescent="0.25">
      <c r="E107" s="73" t="s">
        <v>106</v>
      </c>
      <c r="F107" s="73"/>
      <c r="G107" s="73"/>
      <c r="H107" s="73"/>
      <c r="I107" s="73"/>
      <c r="J107" s="73"/>
      <c r="K107" s="73"/>
      <c r="L107" s="73"/>
      <c r="M107" s="1"/>
      <c r="P107" s="9"/>
      <c r="Q107" s="19"/>
      <c r="R107" s="19"/>
      <c r="S107" s="2"/>
      <c r="T107" s="1"/>
    </row>
    <row r="108" spans="4:20" x14ac:dyDescent="0.25">
      <c r="E108" s="75">
        <v>0</v>
      </c>
      <c r="F108" s="75"/>
      <c r="G108" s="75"/>
      <c r="H108" s="75"/>
      <c r="I108" s="75"/>
      <c r="J108" s="75"/>
      <c r="K108" s="75"/>
      <c r="L108" s="75"/>
      <c r="M108" s="101" t="s">
        <v>5</v>
      </c>
      <c r="N108" s="76">
        <f>(P108*Variables!C1/Variables!C3)</f>
        <v>0</v>
      </c>
      <c r="O108" s="105" t="s">
        <v>5</v>
      </c>
      <c r="P108" s="76">
        <f>(IF(E108&lt;0,0,IF(E108&gt;1.8,4095,ROUND(((E108*4095)/1.8),0))))</f>
        <v>0</v>
      </c>
      <c r="Q108" s="2" t="s">
        <v>103</v>
      </c>
      <c r="R108" s="13">
        <f>_xlfn.BITAND(P108,255)</f>
        <v>0</v>
      </c>
      <c r="S108" s="27" t="str">
        <f>IF(R108&lt;16,CONCATENATE("0x0",(DEC2HEX(R108))),CONCATENATE("0x",(DEC2HEX(R108))))</f>
        <v>0x00</v>
      </c>
      <c r="T108" s="5" t="str">
        <f>DEC2BIN(R108,8)</f>
        <v>00000000</v>
      </c>
    </row>
    <row r="109" spans="4:20" x14ac:dyDescent="0.25">
      <c r="D109" t="s">
        <v>206</v>
      </c>
      <c r="E109" s="75"/>
      <c r="F109" s="75"/>
      <c r="G109" s="75"/>
      <c r="H109" s="75"/>
      <c r="I109" s="75"/>
      <c r="J109" s="75"/>
      <c r="K109" s="75"/>
      <c r="L109" s="75"/>
      <c r="M109" s="101"/>
      <c r="N109" s="76"/>
      <c r="O109" s="105"/>
      <c r="P109" s="76"/>
      <c r="Q109" s="2"/>
      <c r="R109" s="1"/>
      <c r="S109" s="6"/>
      <c r="T109" s="1"/>
    </row>
    <row r="110" spans="4:20" x14ac:dyDescent="0.25">
      <c r="E110" s="75"/>
      <c r="F110" s="75"/>
      <c r="G110" s="75"/>
      <c r="H110" s="75"/>
      <c r="I110" s="75"/>
      <c r="J110" s="75"/>
      <c r="K110" s="75"/>
      <c r="L110" s="75"/>
      <c r="M110" s="101"/>
      <c r="N110" s="76"/>
      <c r="O110" s="105"/>
      <c r="P110" s="76"/>
      <c r="Q110" s="2" t="s">
        <v>104</v>
      </c>
      <c r="R110" s="13">
        <f>((_xlfn.BITAND(P108,3840))/(2^8))</f>
        <v>0</v>
      </c>
      <c r="S110" s="27" t="str">
        <f>IF(R110&lt;16,CONCATENATE("0x0",(DEC2HEX(R110))),CONCATENATE("0x",(DEC2HEX(R110))))</f>
        <v>0x00</v>
      </c>
      <c r="T110" s="5" t="str">
        <f>DEC2BIN(R110,8)</f>
        <v>00000000</v>
      </c>
    </row>
    <row r="111" spans="4:20" x14ac:dyDescent="0.25">
      <c r="E111" s="73" t="s">
        <v>102</v>
      </c>
      <c r="F111" s="73"/>
      <c r="G111" s="73"/>
      <c r="H111" s="73"/>
      <c r="I111" s="73"/>
      <c r="J111" s="73"/>
      <c r="K111" s="73"/>
      <c r="L111" s="73"/>
      <c r="M111" s="1"/>
      <c r="P111" s="9"/>
      <c r="Q111" s="19"/>
      <c r="R111" s="19"/>
      <c r="S111" s="2"/>
      <c r="T111" s="1"/>
    </row>
    <row r="112" spans="4:20" x14ac:dyDescent="0.25">
      <c r="E112" s="75">
        <v>0</v>
      </c>
      <c r="F112" s="75"/>
      <c r="G112" s="75"/>
      <c r="H112" s="75"/>
      <c r="I112" s="75"/>
      <c r="J112" s="75"/>
      <c r="K112" s="75"/>
      <c r="L112" s="75"/>
      <c r="M112" s="101" t="s">
        <v>5</v>
      </c>
      <c r="N112" s="76">
        <f>(P112*Variables!C1/Variables!C3)</f>
        <v>0</v>
      </c>
      <c r="O112" s="105" t="s">
        <v>5</v>
      </c>
      <c r="P112" s="76">
        <f>(IF(E112&lt;0,0,IF(E112&gt;1.8,4095,ROUND(((E112*4095)/1.8),0))))</f>
        <v>0</v>
      </c>
      <c r="Q112" s="2" t="s">
        <v>107</v>
      </c>
      <c r="R112" s="13">
        <f>_xlfn.BITAND(P112,255)</f>
        <v>0</v>
      </c>
      <c r="S112" s="27" t="str">
        <f>IF(R112&lt;16,CONCATENATE("0x0",(DEC2HEX(R112))),CONCATENATE("0x",(DEC2HEX(R112))))</f>
        <v>0x00</v>
      </c>
      <c r="T112" s="5" t="str">
        <f>DEC2BIN(R112,8)</f>
        <v>00000000</v>
      </c>
    </row>
    <row r="113" spans="4:20" x14ac:dyDescent="0.25">
      <c r="D113" t="s">
        <v>207</v>
      </c>
      <c r="E113" s="75"/>
      <c r="F113" s="75"/>
      <c r="G113" s="75"/>
      <c r="H113" s="75"/>
      <c r="I113" s="75"/>
      <c r="J113" s="75"/>
      <c r="K113" s="75"/>
      <c r="L113" s="75"/>
      <c r="M113" s="101"/>
      <c r="N113" s="76"/>
      <c r="O113" s="105"/>
      <c r="P113" s="76"/>
      <c r="Q113" s="2"/>
      <c r="R113" s="1"/>
      <c r="S113" s="6"/>
      <c r="T113" s="1"/>
    </row>
    <row r="114" spans="4:20" x14ac:dyDescent="0.25">
      <c r="E114" s="75"/>
      <c r="F114" s="75"/>
      <c r="G114" s="75"/>
      <c r="H114" s="75"/>
      <c r="I114" s="75"/>
      <c r="J114" s="75"/>
      <c r="K114" s="75"/>
      <c r="L114" s="75"/>
      <c r="M114" s="101"/>
      <c r="N114" s="76"/>
      <c r="O114" s="105"/>
      <c r="P114" s="76"/>
      <c r="Q114" s="2" t="s">
        <v>108</v>
      </c>
      <c r="R114" s="13">
        <f>((_xlfn.BITAND(P112,3840))/(2^8))</f>
        <v>0</v>
      </c>
      <c r="S114" s="27" t="str">
        <f>IF(R114&lt;16,CONCATENATE("0x0",(DEC2HEX(R114))),CONCATENATE("0x",(DEC2HEX(R114))))</f>
        <v>0x00</v>
      </c>
      <c r="T114" s="5" t="str">
        <f>DEC2BIN(R114,8)</f>
        <v>00000000</v>
      </c>
    </row>
    <row r="115" spans="4:20" x14ac:dyDescent="0.25">
      <c r="E115" s="73" t="s">
        <v>109</v>
      </c>
      <c r="F115" s="73"/>
      <c r="G115" s="73"/>
      <c r="H115" s="73"/>
      <c r="I115" s="73"/>
      <c r="J115" s="73"/>
      <c r="K115" s="73"/>
      <c r="L115" s="73"/>
      <c r="M115" s="1"/>
      <c r="P115" s="9"/>
      <c r="Q115" s="19"/>
      <c r="R115" s="19"/>
      <c r="S115" s="2"/>
      <c r="T115" s="1"/>
    </row>
    <row r="116" spans="4:20" x14ac:dyDescent="0.25">
      <c r="E116" s="75">
        <v>5</v>
      </c>
      <c r="F116" s="75"/>
      <c r="G116" s="75"/>
      <c r="H116" s="75"/>
      <c r="I116" s="75"/>
      <c r="J116" s="75"/>
      <c r="K116" s="75"/>
      <c r="L116" s="75"/>
      <c r="M116" s="101" t="s">
        <v>5</v>
      </c>
      <c r="N116" s="76">
        <f>(P116*Variables!C1/Variables!C3)</f>
        <v>1.8</v>
      </c>
      <c r="O116" s="105" t="s">
        <v>5</v>
      </c>
      <c r="P116" s="76">
        <f>(IF(E116&lt;0,0,IF(E116&gt;1.8,4095,ROUND(((E116*4095)/1.8),0))))</f>
        <v>4095</v>
      </c>
      <c r="Q116" s="2" t="s">
        <v>110</v>
      </c>
      <c r="R116" s="13">
        <f>_xlfn.BITAND(P116,255)</f>
        <v>255</v>
      </c>
      <c r="S116" s="27" t="str">
        <f>IF(R116&lt;16,CONCATENATE("0x0",(DEC2HEX(R116))),CONCATENATE("0x",(DEC2HEX(R116))))</f>
        <v>0xFF</v>
      </c>
      <c r="T116" s="5" t="str">
        <f>DEC2BIN(R116,8)</f>
        <v>11111111</v>
      </c>
    </row>
    <row r="117" spans="4:20" x14ac:dyDescent="0.25">
      <c r="D117" t="s">
        <v>208</v>
      </c>
      <c r="E117" s="75"/>
      <c r="F117" s="75"/>
      <c r="G117" s="75"/>
      <c r="H117" s="75"/>
      <c r="I117" s="75"/>
      <c r="J117" s="75"/>
      <c r="K117" s="75"/>
      <c r="L117" s="75"/>
      <c r="M117" s="101"/>
      <c r="N117" s="76"/>
      <c r="O117" s="105"/>
      <c r="P117" s="76"/>
      <c r="Q117" s="2"/>
      <c r="R117" s="1"/>
      <c r="S117" s="6"/>
      <c r="T117" s="1"/>
    </row>
    <row r="118" spans="4:20" x14ac:dyDescent="0.25">
      <c r="E118" s="75"/>
      <c r="F118" s="75"/>
      <c r="G118" s="75"/>
      <c r="H118" s="75"/>
      <c r="I118" s="75"/>
      <c r="J118" s="75"/>
      <c r="K118" s="75"/>
      <c r="L118" s="75"/>
      <c r="M118" s="101"/>
      <c r="N118" s="76"/>
      <c r="O118" s="105"/>
      <c r="P118" s="76"/>
      <c r="Q118" s="2" t="s">
        <v>111</v>
      </c>
      <c r="R118" s="13">
        <f>((_xlfn.BITAND(P116,3840))/(2^8))</f>
        <v>15</v>
      </c>
      <c r="S118" s="27" t="str">
        <f>IF(R118&lt;16,CONCATENATE("0x0",(DEC2HEX(R118))),CONCATENATE("0x",(DEC2HEX(R118))))</f>
        <v>0x0F</v>
      </c>
      <c r="T118" s="5" t="str">
        <f>DEC2BIN(R118,8)</f>
        <v>00001111</v>
      </c>
    </row>
    <row r="119" spans="4:20" x14ac:dyDescent="0.25">
      <c r="E119" s="73" t="s">
        <v>112</v>
      </c>
      <c r="F119" s="73"/>
      <c r="G119" s="73"/>
      <c r="H119" s="73"/>
      <c r="I119" s="73"/>
      <c r="J119" s="73"/>
      <c r="K119" s="73"/>
      <c r="L119" s="73"/>
      <c r="M119" s="1"/>
      <c r="P119" s="9"/>
      <c r="Q119" s="19"/>
      <c r="R119" s="19"/>
      <c r="S119" s="2"/>
      <c r="T119" s="1"/>
    </row>
    <row r="120" spans="4:20" x14ac:dyDescent="0.25">
      <c r="E120" s="75">
        <v>5</v>
      </c>
      <c r="F120" s="75"/>
      <c r="G120" s="75"/>
      <c r="H120" s="75"/>
      <c r="I120" s="75"/>
      <c r="J120" s="75"/>
      <c r="K120" s="75"/>
      <c r="L120" s="75"/>
      <c r="M120" s="101" t="s">
        <v>5</v>
      </c>
      <c r="N120" s="76">
        <f>(P120*Variables!C1/Variables!C3)</f>
        <v>1.8</v>
      </c>
      <c r="O120" s="105" t="s">
        <v>5</v>
      </c>
      <c r="P120" s="76">
        <f>(IF(E120&lt;0,0,IF(E120&gt;1.8,4095,ROUND(((E120*4095)/1.8),0))))</f>
        <v>4095</v>
      </c>
      <c r="Q120" s="2" t="s">
        <v>113</v>
      </c>
      <c r="R120" s="13">
        <f>_xlfn.BITAND(P120,255)</f>
        <v>255</v>
      </c>
      <c r="S120" s="27" t="str">
        <f>IF(R120&lt;16,CONCATENATE("0x0",(DEC2HEX(R120))),CONCATENATE("0x",(DEC2HEX(R120))))</f>
        <v>0xFF</v>
      </c>
      <c r="T120" s="5" t="str">
        <f>DEC2BIN(R120,8)</f>
        <v>11111111</v>
      </c>
    </row>
    <row r="121" spans="4:20" x14ac:dyDescent="0.25">
      <c r="D121" t="s">
        <v>209</v>
      </c>
      <c r="E121" s="75"/>
      <c r="F121" s="75"/>
      <c r="G121" s="75"/>
      <c r="H121" s="75"/>
      <c r="I121" s="75"/>
      <c r="J121" s="75"/>
      <c r="K121" s="75"/>
      <c r="L121" s="75"/>
      <c r="M121" s="101"/>
      <c r="N121" s="76"/>
      <c r="O121" s="105"/>
      <c r="P121" s="76"/>
      <c r="Q121" s="2"/>
      <c r="R121" s="1"/>
      <c r="S121" s="6"/>
      <c r="T121" s="1"/>
    </row>
    <row r="122" spans="4:20" x14ac:dyDescent="0.25">
      <c r="E122" s="75"/>
      <c r="F122" s="75"/>
      <c r="G122" s="75"/>
      <c r="H122" s="75"/>
      <c r="I122" s="75"/>
      <c r="J122" s="75"/>
      <c r="K122" s="75"/>
      <c r="L122" s="75"/>
      <c r="M122" s="101"/>
      <c r="N122" s="76"/>
      <c r="O122" s="105"/>
      <c r="P122" s="76"/>
      <c r="Q122" s="2" t="s">
        <v>114</v>
      </c>
      <c r="R122" s="13">
        <f>((_xlfn.BITAND(P120,3840))/(2^8))</f>
        <v>15</v>
      </c>
      <c r="S122" s="27" t="str">
        <f>IF(R122&lt;16,CONCATENATE("0x0",(DEC2HEX(R122))),CONCATENATE("0x",(DEC2HEX(R122))))</f>
        <v>0x0F</v>
      </c>
      <c r="T122" s="5" t="str">
        <f>DEC2BIN(R122,8)</f>
        <v>00001111</v>
      </c>
    </row>
    <row r="123" spans="4:20" x14ac:dyDescent="0.25">
      <c r="E123" s="73" t="s">
        <v>115</v>
      </c>
      <c r="F123" s="73"/>
      <c r="G123" s="73"/>
      <c r="H123" s="73"/>
      <c r="I123" s="73"/>
      <c r="J123" s="73"/>
      <c r="K123" s="73"/>
      <c r="L123" s="73"/>
      <c r="M123" s="1"/>
      <c r="P123" s="9"/>
      <c r="Q123" s="19"/>
      <c r="R123" s="19"/>
      <c r="S123" s="2"/>
      <c r="T123" s="1"/>
    </row>
    <row r="124" spans="4:20" x14ac:dyDescent="0.25">
      <c r="E124" s="75">
        <v>0</v>
      </c>
      <c r="F124" s="75"/>
      <c r="G124" s="75"/>
      <c r="H124" s="75"/>
      <c r="I124" s="75"/>
      <c r="J124" s="75"/>
      <c r="K124" s="75"/>
      <c r="L124" s="75"/>
      <c r="M124" s="101" t="s">
        <v>5</v>
      </c>
      <c r="N124" s="76">
        <f>(P124*Variables!C1/Variables!C3)</f>
        <v>0</v>
      </c>
      <c r="O124" s="105" t="s">
        <v>5</v>
      </c>
      <c r="P124" s="76">
        <f>(IF(E124&lt;0,0,IF(E124&gt;1.8,4095,ROUND(((E124*4095)/1.8),0))))</f>
        <v>0</v>
      </c>
      <c r="Q124" s="2" t="s">
        <v>116</v>
      </c>
      <c r="R124" s="13">
        <f>_xlfn.BITAND(P124,255)</f>
        <v>0</v>
      </c>
      <c r="S124" s="27" t="str">
        <f>IF(R124&lt;16,CONCATENATE("0x0",(DEC2HEX(R124))),CONCATENATE("0x",(DEC2HEX(R124))))</f>
        <v>0x00</v>
      </c>
      <c r="T124" s="5" t="str">
        <f>DEC2BIN(R124,8)</f>
        <v>00000000</v>
      </c>
    </row>
    <row r="125" spans="4:20" x14ac:dyDescent="0.25">
      <c r="D125" t="s">
        <v>206</v>
      </c>
      <c r="E125" s="75"/>
      <c r="F125" s="75"/>
      <c r="G125" s="75"/>
      <c r="H125" s="75"/>
      <c r="I125" s="75"/>
      <c r="J125" s="75"/>
      <c r="K125" s="75"/>
      <c r="L125" s="75"/>
      <c r="M125" s="101"/>
      <c r="N125" s="76"/>
      <c r="O125" s="105"/>
      <c r="P125" s="76"/>
      <c r="Q125" s="2"/>
      <c r="R125" s="1"/>
      <c r="S125" s="6"/>
      <c r="T125" s="1"/>
    </row>
    <row r="126" spans="4:20" x14ac:dyDescent="0.25">
      <c r="E126" s="75"/>
      <c r="F126" s="75"/>
      <c r="G126" s="75"/>
      <c r="H126" s="75"/>
      <c r="I126" s="75"/>
      <c r="J126" s="75"/>
      <c r="K126" s="75"/>
      <c r="L126" s="75"/>
      <c r="M126" s="101"/>
      <c r="N126" s="76"/>
      <c r="O126" s="105"/>
      <c r="P126" s="76"/>
      <c r="Q126" s="2" t="s">
        <v>117</v>
      </c>
      <c r="R126" s="13">
        <f>((_xlfn.BITAND(P124,3840))/(2^8))</f>
        <v>0</v>
      </c>
      <c r="S126" s="27" t="str">
        <f>IF(R126&lt;16,CONCATENATE("0x0",(DEC2HEX(R126))),CONCATENATE("0x",(DEC2HEX(R126))))</f>
        <v>0x00</v>
      </c>
      <c r="T126" s="5" t="str">
        <f>DEC2BIN(R126,8)</f>
        <v>00000000</v>
      </c>
    </row>
    <row r="127" spans="4:20" x14ac:dyDescent="0.25">
      <c r="E127" s="73" t="s">
        <v>118</v>
      </c>
      <c r="F127" s="73"/>
      <c r="G127" s="73"/>
      <c r="H127" s="73"/>
      <c r="I127" s="73"/>
      <c r="J127" s="73"/>
      <c r="K127" s="73"/>
      <c r="L127" s="73"/>
      <c r="M127" s="1"/>
      <c r="P127" s="9"/>
      <c r="Q127" s="19"/>
      <c r="R127" s="19"/>
      <c r="S127" s="2"/>
      <c r="T127" s="1"/>
    </row>
    <row r="128" spans="4:20" x14ac:dyDescent="0.25">
      <c r="E128" s="75">
        <v>0</v>
      </c>
      <c r="F128" s="75"/>
      <c r="G128" s="75"/>
      <c r="H128" s="75"/>
      <c r="I128" s="75"/>
      <c r="J128" s="75"/>
      <c r="K128" s="75"/>
      <c r="L128" s="75"/>
      <c r="M128" s="101" t="s">
        <v>5</v>
      </c>
      <c r="N128" s="76">
        <f>(P128*Variables!C1/Variables!C3)</f>
        <v>0</v>
      </c>
      <c r="O128" s="105" t="s">
        <v>5</v>
      </c>
      <c r="P128" s="76">
        <f>(IF(E128&lt;0,0,IF(E128&gt;1.8,4095,ROUND(((E128*4095)/1.8),0))))</f>
        <v>0</v>
      </c>
      <c r="Q128" s="2" t="s">
        <v>119</v>
      </c>
      <c r="R128" s="13">
        <f>_xlfn.BITAND(P128,255)</f>
        <v>0</v>
      </c>
      <c r="S128" s="27" t="str">
        <f>IF(R128&lt;16,CONCATENATE("0x0",(DEC2HEX(R128))),CONCATENATE("0x",(DEC2HEX(R128))))</f>
        <v>0x00</v>
      </c>
      <c r="T128" s="5" t="str">
        <f>DEC2BIN(R128,8)</f>
        <v>00000000</v>
      </c>
    </row>
    <row r="129" spans="4:20" x14ac:dyDescent="0.25">
      <c r="D129" t="s">
        <v>207</v>
      </c>
      <c r="E129" s="75"/>
      <c r="F129" s="75"/>
      <c r="G129" s="75"/>
      <c r="H129" s="75"/>
      <c r="I129" s="75"/>
      <c r="J129" s="75"/>
      <c r="K129" s="75"/>
      <c r="L129" s="75"/>
      <c r="M129" s="101"/>
      <c r="N129" s="76"/>
      <c r="O129" s="105"/>
      <c r="P129" s="76"/>
      <c r="Q129" s="2"/>
      <c r="R129" s="1"/>
      <c r="S129" s="6"/>
      <c r="T129" s="1"/>
    </row>
    <row r="130" spans="4:20" x14ac:dyDescent="0.25">
      <c r="E130" s="75"/>
      <c r="F130" s="75"/>
      <c r="G130" s="75"/>
      <c r="H130" s="75"/>
      <c r="I130" s="75"/>
      <c r="J130" s="75"/>
      <c r="K130" s="75"/>
      <c r="L130" s="75"/>
      <c r="M130" s="101"/>
      <c r="N130" s="76"/>
      <c r="O130" s="105"/>
      <c r="P130" s="76"/>
      <c r="Q130" s="2" t="s">
        <v>120</v>
      </c>
      <c r="R130" s="13">
        <f>((_xlfn.BITAND(P128,3840))/(2^8))</f>
        <v>0</v>
      </c>
      <c r="S130" s="27" t="str">
        <f>IF(R130&lt;16,CONCATENATE("0x0",(DEC2HEX(R130))),CONCATENATE("0x",(DEC2HEX(R130))))</f>
        <v>0x00</v>
      </c>
      <c r="T130" s="5" t="str">
        <f>DEC2BIN(R130,8)</f>
        <v>00000000</v>
      </c>
    </row>
    <row r="131" spans="4:20" x14ac:dyDescent="0.25">
      <c r="E131" s="73" t="s">
        <v>123</v>
      </c>
      <c r="F131" s="73"/>
      <c r="G131" s="73"/>
      <c r="H131" s="73"/>
      <c r="I131" s="73"/>
      <c r="J131" s="73"/>
      <c r="K131" s="73"/>
      <c r="L131" s="73"/>
      <c r="M131" s="1"/>
      <c r="P131" s="9"/>
      <c r="Q131" s="19"/>
      <c r="R131" s="19"/>
      <c r="S131" s="2"/>
      <c r="T131" s="1"/>
    </row>
    <row r="132" spans="4:20" x14ac:dyDescent="0.25">
      <c r="E132" s="75">
        <v>5</v>
      </c>
      <c r="F132" s="75"/>
      <c r="G132" s="75"/>
      <c r="H132" s="75"/>
      <c r="I132" s="75"/>
      <c r="J132" s="75"/>
      <c r="K132" s="75"/>
      <c r="L132" s="75"/>
      <c r="M132" s="101" t="s">
        <v>5</v>
      </c>
      <c r="N132" s="76">
        <f>(P132*Variables!C1/Variables!C3)</f>
        <v>1.8</v>
      </c>
      <c r="O132" s="105" t="s">
        <v>5</v>
      </c>
      <c r="P132" s="76">
        <f>(IF(E132&lt;0,0,IF(E132&gt;1.8,4095,ROUND(((E132*4095)/1.8),0))))</f>
        <v>4095</v>
      </c>
      <c r="Q132" s="2" t="s">
        <v>121</v>
      </c>
      <c r="R132" s="13">
        <f>_xlfn.BITAND(P132,255)</f>
        <v>255</v>
      </c>
      <c r="S132" s="27" t="str">
        <f>IF(R132&lt;16,CONCATENATE("0x0",(DEC2HEX(R132))),CONCATENATE("0x",(DEC2HEX(R132))))</f>
        <v>0xFF</v>
      </c>
      <c r="T132" s="5" t="str">
        <f>DEC2BIN(R132,8)</f>
        <v>11111111</v>
      </c>
    </row>
    <row r="133" spans="4:20" x14ac:dyDescent="0.25">
      <c r="D133" t="s">
        <v>208</v>
      </c>
      <c r="E133" s="75"/>
      <c r="F133" s="75"/>
      <c r="G133" s="75"/>
      <c r="H133" s="75"/>
      <c r="I133" s="75"/>
      <c r="J133" s="75"/>
      <c r="K133" s="75"/>
      <c r="L133" s="75"/>
      <c r="M133" s="101"/>
      <c r="N133" s="76"/>
      <c r="O133" s="105"/>
      <c r="P133" s="76"/>
      <c r="Q133" s="2"/>
      <c r="R133" s="1"/>
      <c r="S133" s="6"/>
      <c r="T133" s="1"/>
    </row>
    <row r="134" spans="4:20" x14ac:dyDescent="0.25">
      <c r="E134" s="75"/>
      <c r="F134" s="75"/>
      <c r="G134" s="75"/>
      <c r="H134" s="75"/>
      <c r="I134" s="75"/>
      <c r="J134" s="75"/>
      <c r="K134" s="75"/>
      <c r="L134" s="75"/>
      <c r="M134" s="101"/>
      <c r="N134" s="76"/>
      <c r="O134" s="105"/>
      <c r="P134" s="76"/>
      <c r="Q134" s="2" t="s">
        <v>122</v>
      </c>
      <c r="R134" s="13">
        <f>((_xlfn.BITAND(P132,3840))/(2^8))</f>
        <v>15</v>
      </c>
      <c r="S134" s="27" t="str">
        <f>IF(R134&lt;16,CONCATENATE("0x0",(DEC2HEX(R134))),CONCATENATE("0x",(DEC2HEX(R134))))</f>
        <v>0x0F</v>
      </c>
      <c r="T134" s="5" t="str">
        <f>DEC2BIN(R134,8)</f>
        <v>00001111</v>
      </c>
    </row>
    <row r="135" spans="4:20" x14ac:dyDescent="0.25">
      <c r="E135" s="73" t="s">
        <v>124</v>
      </c>
      <c r="F135" s="73"/>
      <c r="G135" s="73"/>
      <c r="H135" s="73"/>
      <c r="I135" s="73"/>
      <c r="J135" s="73"/>
      <c r="K135" s="73"/>
      <c r="L135" s="73"/>
      <c r="M135" s="1"/>
      <c r="P135" s="9"/>
      <c r="Q135" s="19"/>
      <c r="R135" s="19"/>
      <c r="S135" s="2"/>
      <c r="T135" s="1"/>
    </row>
    <row r="136" spans="4:20" x14ac:dyDescent="0.25">
      <c r="E136" s="75">
        <v>5</v>
      </c>
      <c r="F136" s="75"/>
      <c r="G136" s="75"/>
      <c r="H136" s="75"/>
      <c r="I136" s="75"/>
      <c r="J136" s="75"/>
      <c r="K136" s="75"/>
      <c r="L136" s="75"/>
      <c r="M136" s="101" t="s">
        <v>5</v>
      </c>
      <c r="N136" s="76">
        <f>(P136*Variables!C1/Variables!C3)</f>
        <v>1.8</v>
      </c>
      <c r="O136" s="105" t="s">
        <v>5</v>
      </c>
      <c r="P136" s="76">
        <f>(IF(E136&lt;0,0,IF(E136&gt;1.8,4095,ROUND(((E136*4095)/1.8),0))))</f>
        <v>4095</v>
      </c>
      <c r="Q136" s="2" t="s">
        <v>125</v>
      </c>
      <c r="R136" s="13">
        <f>_xlfn.BITAND(P136,255)</f>
        <v>255</v>
      </c>
      <c r="S136" s="27" t="str">
        <f>IF(R136&lt;16,CONCATENATE("0x0",(DEC2HEX(R136))),CONCATENATE("0x",(DEC2HEX(R136))))</f>
        <v>0xFF</v>
      </c>
      <c r="T136" s="5" t="str">
        <f>DEC2BIN(R136,8)</f>
        <v>11111111</v>
      </c>
    </row>
    <row r="137" spans="4:20" x14ac:dyDescent="0.25">
      <c r="D137" t="s">
        <v>209</v>
      </c>
      <c r="E137" s="75"/>
      <c r="F137" s="75"/>
      <c r="G137" s="75"/>
      <c r="H137" s="75"/>
      <c r="I137" s="75"/>
      <c r="J137" s="75"/>
      <c r="K137" s="75"/>
      <c r="L137" s="75"/>
      <c r="M137" s="101"/>
      <c r="N137" s="76"/>
      <c r="O137" s="105"/>
      <c r="P137" s="76"/>
      <c r="Q137" s="2"/>
      <c r="R137" s="1"/>
      <c r="S137" s="6"/>
      <c r="T137" s="1"/>
    </row>
    <row r="138" spans="4:20" x14ac:dyDescent="0.25">
      <c r="E138" s="75"/>
      <c r="F138" s="75"/>
      <c r="G138" s="75"/>
      <c r="H138" s="75"/>
      <c r="I138" s="75"/>
      <c r="J138" s="75"/>
      <c r="K138" s="75"/>
      <c r="L138" s="75"/>
      <c r="M138" s="101"/>
      <c r="N138" s="76"/>
      <c r="O138" s="105"/>
      <c r="P138" s="76"/>
      <c r="Q138" s="2" t="s">
        <v>126</v>
      </c>
      <c r="R138" s="13">
        <f>((_xlfn.BITAND(P136,3840))/(2^8))</f>
        <v>15</v>
      </c>
      <c r="S138" s="27" t="str">
        <f>IF(R138&lt;16,CONCATENATE("0x0",(DEC2HEX(R138))),CONCATENATE("0x",(DEC2HEX(R138))))</f>
        <v>0x0F</v>
      </c>
      <c r="T138" s="5" t="str">
        <f>DEC2BIN(R138,8)</f>
        <v>00001111</v>
      </c>
    </row>
    <row r="139" spans="4:20" x14ac:dyDescent="0.25">
      <c r="E139" s="73" t="s">
        <v>127</v>
      </c>
      <c r="F139" s="73"/>
      <c r="G139" s="73"/>
      <c r="H139" s="73"/>
      <c r="I139" s="73"/>
      <c r="J139" s="73"/>
      <c r="K139" s="73"/>
      <c r="L139" s="73"/>
      <c r="M139" s="1"/>
      <c r="P139" s="9"/>
      <c r="Q139" s="19"/>
      <c r="R139" s="19"/>
      <c r="S139" s="2"/>
      <c r="T139" s="1"/>
    </row>
    <row r="140" spans="4:20" x14ac:dyDescent="0.25">
      <c r="E140" s="59">
        <v>0.71912100000000001</v>
      </c>
      <c r="F140" s="60"/>
      <c r="G140" s="60"/>
      <c r="H140" s="60"/>
      <c r="I140" s="60"/>
      <c r="J140" s="60"/>
      <c r="K140" s="60"/>
      <c r="L140" s="61"/>
      <c r="M140" s="101" t="s">
        <v>5</v>
      </c>
      <c r="N140" s="76">
        <f>(P140*Variables!C1/Variables!C3)</f>
        <v>0.71912087912087919</v>
      </c>
      <c r="O140" s="105" t="s">
        <v>5</v>
      </c>
      <c r="P140" s="76">
        <f>(IF(E140&lt;0,0,IF(E140&gt;1.8,4095,ROUND(((E140*4095)/1.8),0))))</f>
        <v>1636</v>
      </c>
      <c r="Q140" s="2" t="s">
        <v>128</v>
      </c>
      <c r="R140" s="13">
        <f>_xlfn.BITAND(P140,255)</f>
        <v>100</v>
      </c>
      <c r="S140" s="27" t="str">
        <f>IF(R140&lt;16,CONCATENATE("0x0",(DEC2HEX(R140))),CONCATENATE("0x",(DEC2HEX(R140))))</f>
        <v>0x64</v>
      </c>
      <c r="T140" s="5" t="str">
        <f>DEC2BIN(R140,8)</f>
        <v>01100100</v>
      </c>
    </row>
    <row r="141" spans="4:20" x14ac:dyDescent="0.25">
      <c r="E141" s="83"/>
      <c r="F141" s="84"/>
      <c r="G141" s="84"/>
      <c r="H141" s="84"/>
      <c r="I141" s="84"/>
      <c r="J141" s="84"/>
      <c r="K141" s="84"/>
      <c r="L141" s="85"/>
      <c r="M141" s="101"/>
      <c r="N141" s="76"/>
      <c r="O141" s="105"/>
      <c r="P141" s="76"/>
      <c r="Q141" s="2"/>
      <c r="R141" s="1"/>
      <c r="S141" s="6"/>
      <c r="T141" s="1"/>
    </row>
    <row r="142" spans="4:20" x14ac:dyDescent="0.25">
      <c r="E142" s="62"/>
      <c r="F142" s="63"/>
      <c r="G142" s="63"/>
      <c r="H142" s="63"/>
      <c r="I142" s="63"/>
      <c r="J142" s="63"/>
      <c r="K142" s="63"/>
      <c r="L142" s="64"/>
      <c r="M142" s="101"/>
      <c r="N142" s="76"/>
      <c r="O142" s="105"/>
      <c r="P142" s="76"/>
      <c r="Q142" s="2" t="s">
        <v>129</v>
      </c>
      <c r="R142" s="13">
        <f>((_xlfn.BITAND(P140,3840))/(2^8))</f>
        <v>6</v>
      </c>
      <c r="S142" s="27" t="str">
        <f>IF(R142&lt;16,CONCATENATE("0x0",(DEC2HEX(R142))),CONCATENATE("0x",(DEC2HEX(R142))))</f>
        <v>0x06</v>
      </c>
      <c r="T142" s="5" t="str">
        <f>DEC2BIN(R142,8)</f>
        <v>00000110</v>
      </c>
    </row>
    <row r="143" spans="4:20" x14ac:dyDescent="0.25">
      <c r="E143" s="73" t="s">
        <v>130</v>
      </c>
      <c r="F143" s="73"/>
      <c r="G143" s="73"/>
      <c r="H143" s="73"/>
      <c r="I143" s="73"/>
      <c r="J143" s="73"/>
      <c r="K143" s="73"/>
      <c r="L143" s="73"/>
      <c r="M143" s="1"/>
      <c r="P143" s="9"/>
      <c r="Q143" s="19"/>
      <c r="R143" s="19"/>
      <c r="S143" s="2"/>
      <c r="T143" s="1"/>
    </row>
    <row r="144" spans="4:20" x14ac:dyDescent="0.25">
      <c r="E144" s="75">
        <v>0.68219799999999997</v>
      </c>
      <c r="F144" s="75"/>
      <c r="G144" s="75"/>
      <c r="H144" s="75"/>
      <c r="I144" s="75"/>
      <c r="J144" s="75"/>
      <c r="K144" s="75"/>
      <c r="L144" s="75"/>
      <c r="M144" s="101" t="s">
        <v>5</v>
      </c>
      <c r="N144" s="76">
        <f>(P144*Variables!C1/Variables!C3)</f>
        <v>0.68219780219780213</v>
      </c>
      <c r="O144" s="105" t="s">
        <v>5</v>
      </c>
      <c r="P144" s="76">
        <f>(IF(E144&lt;0,0,IF(E144&gt;1.8,4095,ROUND(((E144*4095)/1.8),0))))</f>
        <v>1552</v>
      </c>
      <c r="Q144" s="2" t="s">
        <v>131</v>
      </c>
      <c r="R144" s="13">
        <f>_xlfn.BITAND(P144,255)</f>
        <v>16</v>
      </c>
      <c r="S144" s="27" t="str">
        <f>IF(R144&lt;16,CONCATENATE("0x0",(DEC2HEX(R144))),CONCATENATE("0x",(DEC2HEX(R144))))</f>
        <v>0x10</v>
      </c>
      <c r="T144" s="5" t="str">
        <f>DEC2BIN(R144,8)</f>
        <v>00010000</v>
      </c>
    </row>
    <row r="145" spans="2:20" x14ac:dyDescent="0.25">
      <c r="E145" s="75"/>
      <c r="F145" s="75"/>
      <c r="G145" s="75"/>
      <c r="H145" s="75"/>
      <c r="I145" s="75"/>
      <c r="J145" s="75"/>
      <c r="K145" s="75"/>
      <c r="L145" s="75"/>
      <c r="M145" s="101"/>
      <c r="N145" s="76"/>
      <c r="O145" s="105"/>
      <c r="P145" s="76"/>
      <c r="Q145" s="2"/>
      <c r="R145" s="1"/>
      <c r="S145" s="6"/>
      <c r="T145" s="1"/>
    </row>
    <row r="146" spans="2:20" x14ac:dyDescent="0.25">
      <c r="E146" s="75"/>
      <c r="F146" s="75"/>
      <c r="G146" s="75"/>
      <c r="H146" s="75"/>
      <c r="I146" s="75"/>
      <c r="J146" s="75"/>
      <c r="K146" s="75"/>
      <c r="L146" s="75"/>
      <c r="M146" s="101"/>
      <c r="N146" s="76"/>
      <c r="O146" s="105"/>
      <c r="P146" s="76"/>
      <c r="Q146" s="2" t="s">
        <v>132</v>
      </c>
      <c r="R146" s="13">
        <f>((_xlfn.BITAND(P144,3840))/(2^8))</f>
        <v>6</v>
      </c>
      <c r="S146" s="27" t="str">
        <f>IF(R146&lt;16,CONCATENATE("0x0",(DEC2HEX(R146))),CONCATENATE("0x",(DEC2HEX(R146))))</f>
        <v>0x06</v>
      </c>
      <c r="T146" s="5" t="str">
        <f>DEC2BIN(R146,8)</f>
        <v>00000110</v>
      </c>
    </row>
    <row r="147" spans="2:20" x14ac:dyDescent="0.25">
      <c r="E147" s="57" t="s">
        <v>135</v>
      </c>
      <c r="F147" s="57"/>
      <c r="G147" s="57"/>
      <c r="H147" s="57"/>
      <c r="I147" s="57"/>
      <c r="J147" s="57"/>
      <c r="K147" s="57"/>
      <c r="L147" s="57"/>
      <c r="M147" s="1"/>
      <c r="P147" s="1"/>
      <c r="Q147" s="2"/>
      <c r="R147" s="2"/>
      <c r="S147" s="2"/>
      <c r="T147" s="1"/>
    </row>
    <row r="148" spans="2:20" x14ac:dyDescent="0.25">
      <c r="E148" s="75">
        <v>0</v>
      </c>
      <c r="F148" s="75"/>
      <c r="G148" s="75"/>
      <c r="H148" s="75"/>
      <c r="I148" s="75"/>
      <c r="J148" s="75"/>
      <c r="K148" s="75"/>
      <c r="L148" s="75"/>
      <c r="M148" s="101" t="s">
        <v>5</v>
      </c>
      <c r="N148" s="76">
        <f>(P148*Variables!C1/Variables!C3)*Variables!C2</f>
        <v>0</v>
      </c>
      <c r="O148" s="73" t="s">
        <v>5</v>
      </c>
      <c r="P148" s="76">
        <f>(IF(E148&lt;0,0,IF(E148&gt;4.8,4095,ROUND((E148/Variables!F3),0))))</f>
        <v>0</v>
      </c>
      <c r="Q148" s="20" t="s">
        <v>133</v>
      </c>
      <c r="R148" s="13">
        <f>_xlfn.BITAND(P148,255)</f>
        <v>0</v>
      </c>
      <c r="S148" s="13" t="str">
        <f>IF(R148&lt;16,CONCATENATE("0x0",(DEC2HEX(R148))),CONCATENATE("0x",(DEC2HEX(R148))))</f>
        <v>0x00</v>
      </c>
      <c r="T148" s="5" t="str">
        <f>DEC2BIN(R148,8)</f>
        <v>00000000</v>
      </c>
    </row>
    <row r="149" spans="2:20" x14ac:dyDescent="0.25">
      <c r="E149" s="75"/>
      <c r="F149" s="75"/>
      <c r="G149" s="75"/>
      <c r="H149" s="75"/>
      <c r="I149" s="75"/>
      <c r="J149" s="75"/>
      <c r="K149" s="75"/>
      <c r="L149" s="75"/>
      <c r="M149" s="101"/>
      <c r="N149" s="76"/>
      <c r="O149" s="73"/>
      <c r="P149" s="76"/>
      <c r="Q149" s="2"/>
      <c r="R149" s="2"/>
      <c r="S149" s="2"/>
      <c r="T149" s="1"/>
    </row>
    <row r="150" spans="2:20" x14ac:dyDescent="0.25">
      <c r="E150" s="75"/>
      <c r="F150" s="75"/>
      <c r="G150" s="75"/>
      <c r="H150" s="75"/>
      <c r="I150" s="75"/>
      <c r="J150" s="75"/>
      <c r="K150" s="75"/>
      <c r="L150" s="75"/>
      <c r="M150" s="101"/>
      <c r="N150" s="76"/>
      <c r="O150" s="73"/>
      <c r="P150" s="76"/>
      <c r="Q150" s="2" t="s">
        <v>134</v>
      </c>
      <c r="R150" s="13">
        <f>((_xlfn.BITAND(P148,3840))/(2^8))</f>
        <v>0</v>
      </c>
      <c r="S150" s="13" t="str">
        <f>IF(R150&lt;16,CONCATENATE("0x0",(DEC2HEX(R150))),CONCATENATE("0x",(DEC2HEX(R150))))</f>
        <v>0x00</v>
      </c>
      <c r="T150" s="5" t="str">
        <f>DEC2BIN(R150,8)</f>
        <v>00000000</v>
      </c>
    </row>
    <row r="151" spans="2:20" x14ac:dyDescent="0.25">
      <c r="E151" s="57" t="s">
        <v>136</v>
      </c>
      <c r="F151" s="57"/>
      <c r="G151" s="57"/>
      <c r="H151" s="57"/>
      <c r="I151" s="57"/>
      <c r="J151" s="57"/>
      <c r="K151" s="57"/>
      <c r="L151" s="57"/>
      <c r="M151" s="11"/>
      <c r="P151" s="11"/>
      <c r="Q151" s="24"/>
      <c r="R151" s="2"/>
      <c r="S151" s="2"/>
      <c r="T151" s="1"/>
    </row>
    <row r="152" spans="2:20" x14ac:dyDescent="0.25">
      <c r="B152" s="39"/>
      <c r="C152" s="39"/>
      <c r="E152" s="72">
        <v>15</v>
      </c>
      <c r="F152" s="72"/>
      <c r="G152" s="72"/>
      <c r="H152" s="72"/>
      <c r="I152" s="72"/>
      <c r="J152" s="72"/>
      <c r="K152" s="72"/>
      <c r="L152" s="72"/>
      <c r="M152" s="16"/>
      <c r="N152" s="22">
        <f>IF(E152&lt;0, "0", IF(E152 &gt; 1024, "1024",ROUND(E152,0)))</f>
        <v>15</v>
      </c>
      <c r="O152" s="22" t="str">
        <f>N155</f>
        <v>s</v>
      </c>
      <c r="P152" s="22">
        <f>N152</f>
        <v>15</v>
      </c>
      <c r="Q152" s="2"/>
      <c r="R152" s="2"/>
      <c r="S152" s="2"/>
      <c r="T152" s="1"/>
    </row>
    <row r="153" spans="2:20" x14ac:dyDescent="0.25">
      <c r="E153" s="86" t="s">
        <v>137</v>
      </c>
      <c r="F153" s="87"/>
      <c r="G153" s="87"/>
      <c r="H153" s="87"/>
      <c r="I153" s="87"/>
      <c r="J153" s="87"/>
      <c r="K153" s="87"/>
      <c r="L153" s="88"/>
      <c r="M153" s="11"/>
      <c r="P153" s="11"/>
      <c r="Q153" s="2" t="s">
        <v>140</v>
      </c>
      <c r="R153" s="13">
        <f>_xlfn.BITAND(P152,255)</f>
        <v>15</v>
      </c>
      <c r="S153" s="13" t="str">
        <f>IF(R153&lt;16,CONCATENATE("0x0",(DEC2HEX(R153))),CONCATENATE("0x",(DEC2HEX(R153))))</f>
        <v>0x0F</v>
      </c>
      <c r="T153" s="5" t="str">
        <f>DEC2BIN(R153,8)</f>
        <v>00001111</v>
      </c>
    </row>
    <row r="154" spans="2:20" x14ac:dyDescent="0.25">
      <c r="E154" s="86" t="s">
        <v>138</v>
      </c>
      <c r="F154" s="87"/>
      <c r="G154" s="87"/>
      <c r="H154" s="88"/>
      <c r="I154" s="86" t="s">
        <v>139</v>
      </c>
      <c r="J154" s="87"/>
      <c r="K154" s="87"/>
      <c r="L154" s="88"/>
      <c r="M154" s="11"/>
      <c r="P154" s="11"/>
      <c r="Q154" s="2"/>
      <c r="R154" s="2"/>
      <c r="S154" s="2"/>
      <c r="T154" s="1"/>
    </row>
    <row r="155" spans="2:20" x14ac:dyDescent="0.25">
      <c r="E155" s="75">
        <v>1</v>
      </c>
      <c r="F155" s="75"/>
      <c r="G155" s="75"/>
      <c r="H155" s="75"/>
      <c r="I155" s="75">
        <v>0</v>
      </c>
      <c r="J155" s="75"/>
      <c r="K155" s="75"/>
      <c r="L155" s="75"/>
      <c r="M155" s="16"/>
      <c r="N155" s="22" t="str">
        <f>IF(((E155*2 +I155) = 3),"min",IF((E155*2+I155 = 2), "s",IF((E155*2+I155=1),"ms","us")))</f>
        <v>s</v>
      </c>
      <c r="O155" s="16"/>
      <c r="P155" s="22">
        <f>IF(N155="min",3,IF(N155="s",2,IF(N155="ms",1,0)))</f>
        <v>2</v>
      </c>
      <c r="Q155" s="16"/>
      <c r="R155" s="16"/>
      <c r="S155" s="16"/>
      <c r="T155" s="1"/>
    </row>
    <row r="156" spans="2:20" x14ac:dyDescent="0.25">
      <c r="E156" s="57" t="s">
        <v>141</v>
      </c>
      <c r="F156" s="57"/>
      <c r="G156" s="57"/>
      <c r="H156" s="57"/>
      <c r="I156" s="57"/>
      <c r="J156" s="57"/>
      <c r="K156" s="57"/>
      <c r="L156" s="57"/>
      <c r="M156" s="10"/>
      <c r="P156" s="10"/>
      <c r="Q156" s="19" t="s">
        <v>142</v>
      </c>
      <c r="R156" s="32">
        <f>(P157*8)+(P155*2)+((_xlfn.BITAND(P152,256))/(2^8))</f>
        <v>252</v>
      </c>
      <c r="S156" s="32" t="str">
        <f>IF(R156&lt;16,CONCATENATE("0x0",(DEC2HEX(R156))),CONCATENATE("0x",(DEC2HEX(R156))))</f>
        <v>0xFC</v>
      </c>
      <c r="T156" s="5" t="str">
        <f>DEC2BIN(R156,8)</f>
        <v>11111100</v>
      </c>
    </row>
    <row r="157" spans="2:20" x14ac:dyDescent="0.25">
      <c r="E157" s="29"/>
      <c r="F157" s="29"/>
      <c r="G157" s="29"/>
      <c r="H157" s="33">
        <v>1</v>
      </c>
      <c r="I157" s="30">
        <v>1</v>
      </c>
      <c r="J157" s="30">
        <v>1</v>
      </c>
      <c r="K157" s="30">
        <v>1</v>
      </c>
      <c r="L157" s="30">
        <v>1</v>
      </c>
      <c r="M157" s="2"/>
      <c r="N157" s="22">
        <f>BIN2DEC(CONCATENATE(H157,I157,J157,K157,L157))</f>
        <v>31</v>
      </c>
      <c r="O157" s="16" t="s">
        <v>143</v>
      </c>
      <c r="P157" s="22">
        <f>N157</f>
        <v>31</v>
      </c>
      <c r="Q157" s="16"/>
      <c r="R157" s="31"/>
      <c r="S157" s="16"/>
      <c r="T157" s="16"/>
    </row>
    <row r="158" spans="2:20" x14ac:dyDescent="0.25">
      <c r="E158" s="86" t="s">
        <v>184</v>
      </c>
      <c r="F158" s="87"/>
      <c r="G158" s="87"/>
      <c r="H158" s="87"/>
      <c r="I158" s="87"/>
      <c r="J158" s="87"/>
      <c r="K158" s="87"/>
      <c r="L158" s="88"/>
      <c r="M158" s="10"/>
      <c r="P158" s="10"/>
      <c r="Q158" s="25"/>
      <c r="R158" s="19"/>
      <c r="S158" s="19"/>
      <c r="T158" s="9"/>
    </row>
    <row r="159" spans="2:20" x14ac:dyDescent="0.25">
      <c r="E159" s="54">
        <v>0</v>
      </c>
      <c r="F159" s="56"/>
      <c r="G159" s="54">
        <v>0</v>
      </c>
      <c r="H159" s="56"/>
      <c r="I159" s="54">
        <v>0</v>
      </c>
      <c r="J159" s="56"/>
      <c r="K159" s="54">
        <v>0</v>
      </c>
      <c r="L159" s="56"/>
      <c r="M159" s="2"/>
      <c r="N159" s="34">
        <f>BIN2DEC(CONCATENATE(E159,G159,I159,K159))</f>
        <v>0</v>
      </c>
      <c r="O159" s="2" t="s">
        <v>145</v>
      </c>
      <c r="P159" s="13">
        <f>N159</f>
        <v>0</v>
      </c>
      <c r="Q159" s="2"/>
      <c r="R159" s="2"/>
      <c r="S159" s="2"/>
      <c r="T159" s="2"/>
    </row>
    <row r="160" spans="2:20" x14ac:dyDescent="0.25">
      <c r="E160" s="86" t="s">
        <v>144</v>
      </c>
      <c r="F160" s="87"/>
      <c r="G160" s="87"/>
      <c r="H160" s="87"/>
      <c r="I160" s="87"/>
      <c r="J160" s="87"/>
      <c r="K160" s="87"/>
      <c r="L160" s="88"/>
      <c r="M160" s="10"/>
      <c r="P160" s="10"/>
      <c r="Q160" s="25" t="s">
        <v>146</v>
      </c>
      <c r="R160" s="32">
        <f>(P161*16)+(P159)</f>
        <v>16</v>
      </c>
      <c r="S160" s="32" t="str">
        <f>IF(R160&lt;16,CONCATENATE("0x0",(DEC2HEX(R160))),CONCATENATE("0x",(DEC2HEX(R160))))</f>
        <v>0x10</v>
      </c>
      <c r="T160" s="5" t="str">
        <f>DEC2BIN(R160,8)</f>
        <v>00010000</v>
      </c>
    </row>
    <row r="161" spans="2:20" x14ac:dyDescent="0.25">
      <c r="E161" s="54">
        <v>0</v>
      </c>
      <c r="F161" s="56"/>
      <c r="G161" s="54">
        <v>0</v>
      </c>
      <c r="H161" s="56"/>
      <c r="I161" s="54">
        <v>0</v>
      </c>
      <c r="J161" s="56"/>
      <c r="K161" s="54">
        <v>1</v>
      </c>
      <c r="L161" s="56"/>
      <c r="M161" s="2"/>
      <c r="N161" s="34">
        <f>16*(BIN2DEC(CONCATENATE(E161,G161,I161,K161)))</f>
        <v>16</v>
      </c>
      <c r="O161" s="2" t="s">
        <v>145</v>
      </c>
      <c r="P161" s="34">
        <f>BIN2DEC(CONCATENATE(E161,G161,I161,K161))</f>
        <v>1</v>
      </c>
      <c r="Q161" s="2"/>
      <c r="R161" s="2"/>
      <c r="S161" s="2"/>
      <c r="T161" s="2"/>
    </row>
    <row r="162" spans="2:20" x14ac:dyDescent="0.25">
      <c r="E162" s="57" t="s">
        <v>147</v>
      </c>
      <c r="F162" s="57"/>
      <c r="G162" s="57"/>
      <c r="H162" s="57"/>
      <c r="I162" s="57"/>
      <c r="J162" s="57"/>
      <c r="K162" s="57"/>
      <c r="L162" s="57"/>
      <c r="M162" s="1"/>
      <c r="P162" s="10"/>
      <c r="Q162" s="25"/>
      <c r="R162" s="19"/>
      <c r="S162" s="2"/>
      <c r="T162" s="1"/>
    </row>
    <row r="163" spans="2:20" x14ac:dyDescent="0.25">
      <c r="E163" s="72" t="s">
        <v>152</v>
      </c>
      <c r="F163" s="72"/>
      <c r="G163" s="72"/>
      <c r="H163" s="72"/>
      <c r="I163" s="72"/>
      <c r="J163" s="72"/>
      <c r="K163" s="72"/>
      <c r="L163" s="72"/>
      <c r="M163" s="16"/>
      <c r="N163" s="16"/>
      <c r="O163" s="16"/>
      <c r="P163" s="22" t="str">
        <f>IF(E163="3 Cells","131",IF(E163="4 Cells","195",IF(E163="5 Cells","199",IF(E163="6 Cells","231",IF(E163="7 Cells","239",IF(E163="8 Cells","255"))))))</f>
        <v>239</v>
      </c>
      <c r="Q163" s="16" t="s">
        <v>154</v>
      </c>
      <c r="R163" s="22" t="str">
        <f>P163</f>
        <v>239</v>
      </c>
      <c r="S163" s="13" t="str">
        <f>IF(R163&lt;16,CONCATENATE("0x0",(DEC2HEX(R163))),CONCATENATE("0x",(DEC2HEX(R163))))</f>
        <v>0xEF</v>
      </c>
      <c r="T163" s="5" t="str">
        <f>DEC2BIN(R163,8)</f>
        <v>11101111</v>
      </c>
    </row>
    <row r="164" spans="2:20" x14ac:dyDescent="0.25">
      <c r="E164" s="2" t="s">
        <v>155</v>
      </c>
      <c r="F164" s="2" t="s">
        <v>156</v>
      </c>
      <c r="G164" s="2" t="s">
        <v>157</v>
      </c>
      <c r="H164" s="2" t="s">
        <v>158</v>
      </c>
      <c r="I164" s="2" t="s">
        <v>159</v>
      </c>
      <c r="J164" s="2" t="s">
        <v>160</v>
      </c>
      <c r="K164" s="2" t="s">
        <v>161</v>
      </c>
      <c r="L164" s="2" t="s">
        <v>162</v>
      </c>
      <c r="M164" s="1"/>
      <c r="P164" s="1"/>
      <c r="Q164" s="2"/>
      <c r="R164" s="2"/>
      <c r="S164" s="2"/>
      <c r="T164" s="1"/>
    </row>
    <row r="165" spans="2:20" x14ac:dyDescent="0.25">
      <c r="E165" s="13" t="s">
        <v>163</v>
      </c>
      <c r="F165" s="13" t="str">
        <f>IF(E163 = "3 Cells", "Disabled", "Enabled")</f>
        <v>Enabled</v>
      </c>
      <c r="G165" s="13" t="str">
        <f>IF(OR(E163 = "3 Cells",  E163 = "4 Cells", E163="5 Cells"), "Disabled", "Enabled")</f>
        <v>Enabled</v>
      </c>
      <c r="H165" s="13" t="str">
        <f>IF(OR(E163 = "3 Cells",  E163 = "4 Cells", E163="5 Cells", E163 = "6 Cells", E163 = "7 Cells"), "Disabled", "Enabled")</f>
        <v>Disabled</v>
      </c>
      <c r="I165" s="13" t="str">
        <f>IF(OR(E163 = "3 Cells",  E163 = "4 Cells", E163="5 Cells", E163 = "6 Cells"), "Disabled", "Enabled")</f>
        <v>Enabled</v>
      </c>
      <c r="J165" s="13" t="str">
        <f>IF(OR(E163 = "3 Cells",  E163 = "4 Cells"), "Disabled", "Enabled")</f>
        <v>Enabled</v>
      </c>
      <c r="K165" s="13" t="s">
        <v>163</v>
      </c>
      <c r="L165" s="13" t="s">
        <v>163</v>
      </c>
      <c r="M165" s="9"/>
      <c r="P165" s="1"/>
      <c r="Q165" s="2"/>
      <c r="R165" s="2"/>
      <c r="S165" s="2"/>
      <c r="T165" s="1"/>
    </row>
    <row r="166" spans="2:20" x14ac:dyDescent="0.25">
      <c r="E166" s="86" t="s">
        <v>171</v>
      </c>
      <c r="F166" s="87"/>
      <c r="G166" s="87"/>
      <c r="H166" s="87"/>
      <c r="I166" s="87"/>
      <c r="J166" s="87"/>
      <c r="K166" s="87"/>
      <c r="L166" s="88"/>
      <c r="M166" s="9"/>
      <c r="P166" s="1"/>
      <c r="Q166" s="2"/>
      <c r="R166" s="2"/>
      <c r="S166" s="2"/>
      <c r="T166" s="1"/>
    </row>
    <row r="167" spans="2:20" x14ac:dyDescent="0.25">
      <c r="E167" s="65" t="s">
        <v>164</v>
      </c>
      <c r="F167" s="65" t="s">
        <v>55</v>
      </c>
      <c r="G167" s="65" t="s">
        <v>165</v>
      </c>
      <c r="H167" s="65" t="s">
        <v>166</v>
      </c>
      <c r="I167" s="65" t="s">
        <v>55</v>
      </c>
      <c r="J167" s="65" t="s">
        <v>167</v>
      </c>
      <c r="K167" s="65" t="s">
        <v>168</v>
      </c>
      <c r="L167" s="106" t="s">
        <v>169</v>
      </c>
      <c r="M167" s="73"/>
      <c r="N167" s="35"/>
      <c r="O167" s="35"/>
      <c r="P167" s="73"/>
      <c r="Q167" s="73"/>
      <c r="R167" s="73"/>
      <c r="S167" s="73"/>
      <c r="T167" s="73"/>
    </row>
    <row r="168" spans="2:20" x14ac:dyDescent="0.25">
      <c r="E168" s="66"/>
      <c r="F168" s="66"/>
      <c r="G168" s="66"/>
      <c r="H168" s="66"/>
      <c r="I168" s="66"/>
      <c r="J168" s="66"/>
      <c r="K168" s="66"/>
      <c r="L168" s="107"/>
      <c r="M168" s="65"/>
      <c r="N168" s="35"/>
      <c r="O168" s="35"/>
      <c r="P168" s="65"/>
      <c r="Q168" s="65"/>
      <c r="R168" s="65"/>
      <c r="S168" s="65"/>
      <c r="T168" s="65"/>
    </row>
    <row r="169" spans="2:20" x14ac:dyDescent="0.25">
      <c r="B169" s="38"/>
      <c r="C169" s="38"/>
      <c r="E169" s="12">
        <v>0</v>
      </c>
      <c r="F169" s="36"/>
      <c r="G169" s="12">
        <v>1</v>
      </c>
      <c r="H169" s="12">
        <v>0</v>
      </c>
      <c r="I169" s="36"/>
      <c r="J169" s="12">
        <v>0</v>
      </c>
      <c r="K169" s="12">
        <v>0</v>
      </c>
      <c r="L169" s="12">
        <v>0</v>
      </c>
      <c r="M169" s="2"/>
      <c r="N169" s="13" t="str">
        <f>CONCATENATE(E169,"0",G169,H169,"0",J169,K169,L169)</f>
        <v>00100000</v>
      </c>
      <c r="O169" s="2"/>
      <c r="P169" s="13">
        <f>BIN2DEC(N169)</f>
        <v>32</v>
      </c>
      <c r="Q169" s="2" t="s">
        <v>170</v>
      </c>
      <c r="R169" s="13">
        <f>P169</f>
        <v>32</v>
      </c>
      <c r="S169" s="13" t="str">
        <f>IF(R169&lt;16,CONCATENATE("0x0",(DEC2HEX(R169))),CONCATENATE("0x",(DEC2HEX(R169))))</f>
        <v>0x20</v>
      </c>
      <c r="T169" s="5" t="str">
        <f>DEC2BIN(R169,8)</f>
        <v>00100000</v>
      </c>
    </row>
    <row r="170" spans="2:20" x14ac:dyDescent="0.25">
      <c r="E170" s="86" t="s">
        <v>200</v>
      </c>
      <c r="F170" s="87"/>
      <c r="G170" s="87"/>
      <c r="H170" s="87"/>
      <c r="I170" s="87"/>
      <c r="J170" s="87"/>
      <c r="K170" s="87"/>
      <c r="L170" s="88"/>
      <c r="M170" s="2"/>
      <c r="N170" s="3"/>
      <c r="O170" s="3"/>
      <c r="P170" s="13"/>
      <c r="Q170" s="2"/>
      <c r="R170" s="13"/>
      <c r="S170" s="13"/>
      <c r="T170" s="5"/>
    </row>
    <row r="171" spans="2:20" x14ac:dyDescent="0.25">
      <c r="E171" s="65" t="s">
        <v>173</v>
      </c>
      <c r="F171" s="65" t="s">
        <v>174</v>
      </c>
      <c r="G171" s="65" t="s">
        <v>175</v>
      </c>
      <c r="H171" s="65" t="s">
        <v>176</v>
      </c>
      <c r="I171" s="65" t="s">
        <v>177</v>
      </c>
      <c r="J171" s="65" t="s">
        <v>55</v>
      </c>
      <c r="K171" s="65" t="s">
        <v>55</v>
      </c>
      <c r="L171" s="106" t="s">
        <v>178</v>
      </c>
      <c r="M171" s="73"/>
      <c r="N171" s="35"/>
      <c r="O171" s="35"/>
      <c r="P171" s="73"/>
      <c r="Q171" s="73"/>
      <c r="R171" s="73"/>
      <c r="S171" s="73"/>
      <c r="T171" s="73"/>
    </row>
    <row r="172" spans="2:20" x14ac:dyDescent="0.25">
      <c r="E172" s="66"/>
      <c r="F172" s="66"/>
      <c r="G172" s="66"/>
      <c r="H172" s="66"/>
      <c r="I172" s="66"/>
      <c r="J172" s="66"/>
      <c r="K172" s="66"/>
      <c r="L172" s="107"/>
      <c r="M172" s="65"/>
      <c r="N172" s="35"/>
      <c r="O172" s="35"/>
      <c r="P172" s="65"/>
      <c r="Q172" s="65"/>
      <c r="R172" s="65"/>
      <c r="S172" s="65"/>
      <c r="T172" s="65"/>
    </row>
    <row r="173" spans="2:20" x14ac:dyDescent="0.25">
      <c r="B173" s="38"/>
      <c r="C173" s="38"/>
      <c r="E173" s="12">
        <v>0</v>
      </c>
      <c r="F173" s="12">
        <v>1</v>
      </c>
      <c r="G173" s="12">
        <v>1</v>
      </c>
      <c r="H173" s="12">
        <v>1</v>
      </c>
      <c r="I173" s="12">
        <v>0</v>
      </c>
      <c r="J173" s="36">
        <v>0</v>
      </c>
      <c r="K173" s="36">
        <v>0</v>
      </c>
      <c r="L173" s="12">
        <v>1</v>
      </c>
      <c r="M173" s="2"/>
      <c r="N173" s="34" t="str">
        <f>CONCATENATE(E173,F173,G173,H173,I173,"0","0",L173)</f>
        <v>01110001</v>
      </c>
      <c r="O173" s="2"/>
      <c r="P173" s="13">
        <f>BIN2DEC(N173)</f>
        <v>113</v>
      </c>
      <c r="Q173" s="2" t="s">
        <v>172</v>
      </c>
      <c r="R173" s="13">
        <f>P173</f>
        <v>113</v>
      </c>
      <c r="S173" s="13" t="str">
        <f>IF(R173&lt;16,CONCATENATE("0x0",(DEC2HEX(R173))),CONCATENATE("0x",(DEC2HEX(R173))))</f>
        <v>0x71</v>
      </c>
      <c r="T173" s="5" t="str">
        <f>DEC2BIN(R173,8)</f>
        <v>01110001</v>
      </c>
    </row>
  </sheetData>
  <mergeCells count="272">
    <mergeCell ref="A8:C9"/>
    <mergeCell ref="E8:L8"/>
    <mergeCell ref="E9:L9"/>
    <mergeCell ref="A10:C10"/>
    <mergeCell ref="E10:L11"/>
    <mergeCell ref="M10:M11"/>
    <mergeCell ref="S3:S4"/>
    <mergeCell ref="T3:T4"/>
    <mergeCell ref="E5:L5"/>
    <mergeCell ref="A6:C6"/>
    <mergeCell ref="E6:L6"/>
    <mergeCell ref="E7:L7"/>
    <mergeCell ref="E3:L4"/>
    <mergeCell ref="M3:M4"/>
    <mergeCell ref="N3:O4"/>
    <mergeCell ref="P3:P4"/>
    <mergeCell ref="Q3:Q4"/>
    <mergeCell ref="R3:R4"/>
    <mergeCell ref="E15:L15"/>
    <mergeCell ref="E16:L16"/>
    <mergeCell ref="E17:L19"/>
    <mergeCell ref="M17:M19"/>
    <mergeCell ref="N17:N19"/>
    <mergeCell ref="O17:O19"/>
    <mergeCell ref="N10:N11"/>
    <mergeCell ref="O10:O11"/>
    <mergeCell ref="P10:P11"/>
    <mergeCell ref="E12:L12"/>
    <mergeCell ref="E13:L13"/>
    <mergeCell ref="E14:L14"/>
    <mergeCell ref="E24:L24"/>
    <mergeCell ref="E25:L27"/>
    <mergeCell ref="M25:M27"/>
    <mergeCell ref="N25:N27"/>
    <mergeCell ref="O25:O27"/>
    <mergeCell ref="P25:P27"/>
    <mergeCell ref="P17:P19"/>
    <mergeCell ref="E20:L20"/>
    <mergeCell ref="E21:L23"/>
    <mergeCell ref="M21:M23"/>
    <mergeCell ref="N21:N23"/>
    <mergeCell ref="O21:O23"/>
    <mergeCell ref="P21:P23"/>
    <mergeCell ref="E32:L32"/>
    <mergeCell ref="E33:L35"/>
    <mergeCell ref="M33:M35"/>
    <mergeCell ref="N33:N35"/>
    <mergeCell ref="O33:O35"/>
    <mergeCell ref="P33:P35"/>
    <mergeCell ref="E28:L28"/>
    <mergeCell ref="E29:L31"/>
    <mergeCell ref="M29:M31"/>
    <mergeCell ref="N29:N31"/>
    <mergeCell ref="O29:O31"/>
    <mergeCell ref="P29:P31"/>
    <mergeCell ref="E41:L41"/>
    <mergeCell ref="E42:L42"/>
    <mergeCell ref="E43:L43"/>
    <mergeCell ref="E44:H44"/>
    <mergeCell ref="I44:L44"/>
    <mergeCell ref="E45:H45"/>
    <mergeCell ref="I45:L45"/>
    <mergeCell ref="E36:L36"/>
    <mergeCell ref="E37:L37"/>
    <mergeCell ref="E38:L38"/>
    <mergeCell ref="E39:H39"/>
    <mergeCell ref="I39:L39"/>
    <mergeCell ref="E40:H40"/>
    <mergeCell ref="I40:L40"/>
    <mergeCell ref="E52:L52"/>
    <mergeCell ref="E53:G53"/>
    <mergeCell ref="H53:J53"/>
    <mergeCell ref="K53:L53"/>
    <mergeCell ref="E54:G54"/>
    <mergeCell ref="E55:L55"/>
    <mergeCell ref="E46:L46"/>
    <mergeCell ref="E47:L47"/>
    <mergeCell ref="E48:L48"/>
    <mergeCell ref="E49:L49"/>
    <mergeCell ref="E50:L50"/>
    <mergeCell ref="E51:L51"/>
    <mergeCell ref="E60:L60"/>
    <mergeCell ref="E61:L61"/>
    <mergeCell ref="E62:L62"/>
    <mergeCell ref="E63:G63"/>
    <mergeCell ref="H63:J63"/>
    <mergeCell ref="K63:L63"/>
    <mergeCell ref="E56:L56"/>
    <mergeCell ref="E57:L57"/>
    <mergeCell ref="E58:G58"/>
    <mergeCell ref="H58:J58"/>
    <mergeCell ref="K58:L58"/>
    <mergeCell ref="E59:G59"/>
    <mergeCell ref="P66:P68"/>
    <mergeCell ref="E69:L69"/>
    <mergeCell ref="E70:L72"/>
    <mergeCell ref="M70:M72"/>
    <mergeCell ref="N70:N72"/>
    <mergeCell ref="O70:O72"/>
    <mergeCell ref="P70:P72"/>
    <mergeCell ref="E64:G64"/>
    <mergeCell ref="E65:L65"/>
    <mergeCell ref="E66:L68"/>
    <mergeCell ref="M66:M68"/>
    <mergeCell ref="N66:N68"/>
    <mergeCell ref="O66:O68"/>
    <mergeCell ref="M78:M80"/>
    <mergeCell ref="N78:N80"/>
    <mergeCell ref="O78:O80"/>
    <mergeCell ref="P78:P80"/>
    <mergeCell ref="E73:L73"/>
    <mergeCell ref="E74:L76"/>
    <mergeCell ref="M74:M76"/>
    <mergeCell ref="N74:N76"/>
    <mergeCell ref="O74:O76"/>
    <mergeCell ref="P74:P76"/>
    <mergeCell ref="E81:L81"/>
    <mergeCell ref="E82:L82"/>
    <mergeCell ref="E83:L83"/>
    <mergeCell ref="E84:H84"/>
    <mergeCell ref="I84:L84"/>
    <mergeCell ref="E85:H85"/>
    <mergeCell ref="I85:L85"/>
    <mergeCell ref="E77:L77"/>
    <mergeCell ref="E78:L80"/>
    <mergeCell ref="E91:L91"/>
    <mergeCell ref="E92:L94"/>
    <mergeCell ref="M92:M94"/>
    <mergeCell ref="N92:N94"/>
    <mergeCell ref="O92:O94"/>
    <mergeCell ref="P92:P94"/>
    <mergeCell ref="E86:L86"/>
    <mergeCell ref="E87:L87"/>
    <mergeCell ref="E88:L88"/>
    <mergeCell ref="E89:H89"/>
    <mergeCell ref="I89:L89"/>
    <mergeCell ref="E90:H90"/>
    <mergeCell ref="I90:L90"/>
    <mergeCell ref="E99:L99"/>
    <mergeCell ref="E100:L102"/>
    <mergeCell ref="M100:M102"/>
    <mergeCell ref="N100:N102"/>
    <mergeCell ref="O100:O102"/>
    <mergeCell ref="P100:P102"/>
    <mergeCell ref="E95:L95"/>
    <mergeCell ref="E96:L98"/>
    <mergeCell ref="M96:M98"/>
    <mergeCell ref="N96:N98"/>
    <mergeCell ref="O96:O98"/>
    <mergeCell ref="P96:P98"/>
    <mergeCell ref="E107:L107"/>
    <mergeCell ref="E108:L110"/>
    <mergeCell ref="M108:M110"/>
    <mergeCell ref="N108:N110"/>
    <mergeCell ref="O108:O110"/>
    <mergeCell ref="P108:P110"/>
    <mergeCell ref="E103:L103"/>
    <mergeCell ref="E104:L106"/>
    <mergeCell ref="M104:M106"/>
    <mergeCell ref="N104:N106"/>
    <mergeCell ref="O104:O106"/>
    <mergeCell ref="P104:P106"/>
    <mergeCell ref="E115:L115"/>
    <mergeCell ref="E116:L118"/>
    <mergeCell ref="M116:M118"/>
    <mergeCell ref="N116:N118"/>
    <mergeCell ref="O116:O118"/>
    <mergeCell ref="P116:P118"/>
    <mergeCell ref="E111:L111"/>
    <mergeCell ref="E112:L114"/>
    <mergeCell ref="M112:M114"/>
    <mergeCell ref="N112:N114"/>
    <mergeCell ref="O112:O114"/>
    <mergeCell ref="P112:P114"/>
    <mergeCell ref="E123:L123"/>
    <mergeCell ref="E124:L126"/>
    <mergeCell ref="M124:M126"/>
    <mergeCell ref="N124:N126"/>
    <mergeCell ref="O124:O126"/>
    <mergeCell ref="P124:P126"/>
    <mergeCell ref="E119:L119"/>
    <mergeCell ref="E120:L122"/>
    <mergeCell ref="M120:M122"/>
    <mergeCell ref="N120:N122"/>
    <mergeCell ref="O120:O122"/>
    <mergeCell ref="P120:P122"/>
    <mergeCell ref="E131:L131"/>
    <mergeCell ref="E132:L134"/>
    <mergeCell ref="M132:M134"/>
    <mergeCell ref="N132:N134"/>
    <mergeCell ref="O132:O134"/>
    <mergeCell ref="P132:P134"/>
    <mergeCell ref="E127:L127"/>
    <mergeCell ref="E128:L130"/>
    <mergeCell ref="M128:M130"/>
    <mergeCell ref="N128:N130"/>
    <mergeCell ref="O128:O130"/>
    <mergeCell ref="P128:P130"/>
    <mergeCell ref="E139:L139"/>
    <mergeCell ref="E140:L142"/>
    <mergeCell ref="M140:M142"/>
    <mergeCell ref="N140:N142"/>
    <mergeCell ref="O140:O142"/>
    <mergeCell ref="P140:P142"/>
    <mergeCell ref="E135:L135"/>
    <mergeCell ref="E136:L138"/>
    <mergeCell ref="M136:M138"/>
    <mergeCell ref="N136:N138"/>
    <mergeCell ref="O136:O138"/>
    <mergeCell ref="P136:P138"/>
    <mergeCell ref="M148:M150"/>
    <mergeCell ref="N148:N150"/>
    <mergeCell ref="O148:O150"/>
    <mergeCell ref="P148:P150"/>
    <mergeCell ref="E143:L143"/>
    <mergeCell ref="E144:L146"/>
    <mergeCell ref="M144:M146"/>
    <mergeCell ref="N144:N146"/>
    <mergeCell ref="O144:O146"/>
    <mergeCell ref="P144:P146"/>
    <mergeCell ref="E151:L151"/>
    <mergeCell ref="E152:L152"/>
    <mergeCell ref="E153:L153"/>
    <mergeCell ref="E154:H154"/>
    <mergeCell ref="I154:L154"/>
    <mergeCell ref="E155:H155"/>
    <mergeCell ref="I155:L155"/>
    <mergeCell ref="E147:L147"/>
    <mergeCell ref="E148:L150"/>
    <mergeCell ref="E160:L160"/>
    <mergeCell ref="E161:F161"/>
    <mergeCell ref="G161:H161"/>
    <mergeCell ref="I161:J161"/>
    <mergeCell ref="K161:L161"/>
    <mergeCell ref="E162:L162"/>
    <mergeCell ref="E156:L156"/>
    <mergeCell ref="E158:L158"/>
    <mergeCell ref="E159:F159"/>
    <mergeCell ref="G159:H159"/>
    <mergeCell ref="I159:J159"/>
    <mergeCell ref="K159:L159"/>
    <mergeCell ref="M167:M168"/>
    <mergeCell ref="P167:P168"/>
    <mergeCell ref="Q167:Q168"/>
    <mergeCell ref="R167:R168"/>
    <mergeCell ref="S167:S168"/>
    <mergeCell ref="T167:T168"/>
    <mergeCell ref="E163:L163"/>
    <mergeCell ref="E166:L166"/>
    <mergeCell ref="E167:E168"/>
    <mergeCell ref="F167:F168"/>
    <mergeCell ref="G167:G168"/>
    <mergeCell ref="H167:H168"/>
    <mergeCell ref="I167:I168"/>
    <mergeCell ref="J167:J168"/>
    <mergeCell ref="K167:K168"/>
    <mergeCell ref="L167:L168"/>
    <mergeCell ref="M171:M172"/>
    <mergeCell ref="P171:P172"/>
    <mergeCell ref="Q171:Q172"/>
    <mergeCell ref="R171:R172"/>
    <mergeCell ref="S171:S172"/>
    <mergeCell ref="T171:T172"/>
    <mergeCell ref="E170:L170"/>
    <mergeCell ref="E171:E172"/>
    <mergeCell ref="F171:F172"/>
    <mergeCell ref="G171:G172"/>
    <mergeCell ref="H171:H172"/>
    <mergeCell ref="I171:I172"/>
    <mergeCell ref="J171:J172"/>
    <mergeCell ref="K171:K172"/>
    <mergeCell ref="L171:L172"/>
  </mergeCells>
  <pageMargins left="0.7" right="0.7" top="0.75" bottom="0.75" header="0.3" footer="0.3"/>
  <pageSetup orientation="portrait" r:id="rId1"/>
  <drawing r:id="rId2"/>
  <legacyDrawing r:id="rId3"/>
  <controls>
    <mc:AlternateContent xmlns:mc="http://schemas.openxmlformats.org/markup-compatibility/2006">
      <mc:Choice Requires="x14">
        <control shapeId="20481" r:id="rId4" name="btnGenerateFile">
          <controlPr defaultSize="0" autoLine="0" r:id="rId5">
            <anchor moveWithCells="1">
              <from>
                <xdr:col>9</xdr:col>
                <xdr:colOff>600075</xdr:colOff>
                <xdr:row>176</xdr:row>
                <xdr:rowOff>104775</xdr:rowOff>
              </from>
              <to>
                <xdr:col>13</xdr:col>
                <xdr:colOff>333375</xdr:colOff>
                <xdr:row>180</xdr:row>
                <xdr:rowOff>95250</xdr:rowOff>
              </to>
            </anchor>
          </controlPr>
        </control>
      </mc:Choice>
      <mc:Fallback>
        <control shapeId="20481" r:id="rId4" name="btnGenerateFile"/>
      </mc:Fallback>
    </mc:AlternateContent>
  </control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F35E7319-3C18-4299-9885-58F8B92A807A}">
          <x14:formula1>
            <xm:f>Variables!$F$7:$F$12</xm:f>
          </x14:formula1>
          <xm:sqref>E163:L163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2:C7"/>
  <sheetViews>
    <sheetView workbookViewId="0"/>
  </sheetViews>
  <sheetFormatPr defaultRowHeight="15" x14ac:dyDescent="0.25"/>
  <cols>
    <col min="2" max="2" width="10.42578125" style="35" customWidth="1"/>
    <col min="3" max="3" width="111.5703125" style="40" bestFit="1" customWidth="1"/>
  </cols>
  <sheetData>
    <row r="2" spans="2:3" ht="15.75" thickBot="1" x14ac:dyDescent="0.3"/>
    <row r="3" spans="2:3" ht="30" x14ac:dyDescent="0.25">
      <c r="B3" s="41" t="s">
        <v>186</v>
      </c>
      <c r="C3" s="42" t="s">
        <v>187</v>
      </c>
    </row>
    <row r="4" spans="2:3" x14ac:dyDescent="0.25">
      <c r="B4" s="43" t="s">
        <v>188</v>
      </c>
      <c r="C4" s="44" t="s">
        <v>192</v>
      </c>
    </row>
    <row r="5" spans="2:3" ht="135" x14ac:dyDescent="0.25">
      <c r="B5" s="43" t="s">
        <v>189</v>
      </c>
      <c r="C5" s="44" t="s">
        <v>194</v>
      </c>
    </row>
    <row r="6" spans="2:3" ht="30" x14ac:dyDescent="0.25">
      <c r="B6" s="43" t="s">
        <v>190</v>
      </c>
      <c r="C6" s="44" t="s">
        <v>196</v>
      </c>
    </row>
    <row r="7" spans="2:3" ht="45.75" thickBot="1" x14ac:dyDescent="0.3">
      <c r="B7" s="45" t="s">
        <v>191</v>
      </c>
      <c r="C7" s="46" t="s">
        <v>195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3:T173"/>
  <sheetViews>
    <sheetView workbookViewId="0">
      <pane ySplit="4" topLeftCell="A5" activePane="bottomLeft" state="frozen"/>
      <selection pane="bottomLeft" activeCell="S68" sqref="S68"/>
    </sheetView>
  </sheetViews>
  <sheetFormatPr defaultRowHeight="15" x14ac:dyDescent="0.25"/>
  <cols>
    <col min="2" max="3" width="10.5703125" customWidth="1"/>
    <col min="16" max="16" width="9.42578125" customWidth="1"/>
  </cols>
  <sheetData>
    <row r="3" spans="1:20" x14ac:dyDescent="0.25">
      <c r="E3" s="73" t="s">
        <v>9</v>
      </c>
      <c r="F3" s="73"/>
      <c r="G3" s="73"/>
      <c r="H3" s="73"/>
      <c r="I3" s="73"/>
      <c r="J3" s="73"/>
      <c r="K3" s="73"/>
      <c r="L3" s="73"/>
      <c r="M3" s="65" t="s">
        <v>10</v>
      </c>
      <c r="N3" s="73" t="s">
        <v>30</v>
      </c>
      <c r="O3" s="73"/>
      <c r="P3" s="67" t="s">
        <v>11</v>
      </c>
      <c r="Q3" s="67" t="s">
        <v>14</v>
      </c>
      <c r="R3" s="67" t="s">
        <v>11</v>
      </c>
      <c r="S3" s="67" t="s">
        <v>12</v>
      </c>
      <c r="T3" s="68" t="s">
        <v>88</v>
      </c>
    </row>
    <row r="4" spans="1:20" x14ac:dyDescent="0.25">
      <c r="E4" s="73"/>
      <c r="F4" s="73"/>
      <c r="G4" s="73"/>
      <c r="H4" s="73"/>
      <c r="I4" s="73"/>
      <c r="J4" s="73"/>
      <c r="K4" s="73"/>
      <c r="L4" s="73"/>
      <c r="M4" s="66"/>
      <c r="N4" s="73"/>
      <c r="O4" s="73"/>
      <c r="P4" s="67"/>
      <c r="Q4" s="67"/>
      <c r="R4" s="67"/>
      <c r="S4" s="67"/>
      <c r="T4" s="68"/>
    </row>
    <row r="5" spans="1:20" ht="15.75" thickBot="1" x14ac:dyDescent="0.3">
      <c r="E5" s="57" t="s">
        <v>16</v>
      </c>
      <c r="F5" s="57"/>
      <c r="G5" s="57"/>
      <c r="H5" s="57"/>
      <c r="I5" s="57"/>
      <c r="J5" s="57"/>
      <c r="K5" s="57"/>
      <c r="L5" s="57"/>
      <c r="N5" s="4"/>
      <c r="O5" s="7"/>
      <c r="P5" s="9"/>
      <c r="Q5" s="2" t="s">
        <v>15</v>
      </c>
      <c r="R5" s="13">
        <f>_xlfn.BITAND(P6,255)</f>
        <v>8</v>
      </c>
      <c r="S5" s="13" t="str">
        <f>IF(R5&lt;16,CONCATENATE("0x0",(DEC2HEX(R5))),CONCATENATE("0x",(DEC2HEX(R5))))</f>
        <v>0x08</v>
      </c>
      <c r="T5" s="5" t="str">
        <f>DEC2BIN(R5,8)</f>
        <v>00001000</v>
      </c>
    </row>
    <row r="6" spans="1:20" ht="15.75" thickBot="1" x14ac:dyDescent="0.3">
      <c r="A6" s="69" t="s">
        <v>199</v>
      </c>
      <c r="B6" s="70"/>
      <c r="C6" s="71"/>
      <c r="E6" s="72">
        <v>4.21</v>
      </c>
      <c r="F6" s="72"/>
      <c r="G6" s="72"/>
      <c r="H6" s="72"/>
      <c r="I6" s="72"/>
      <c r="J6" s="72"/>
      <c r="K6" s="72"/>
      <c r="L6" s="72"/>
      <c r="M6" s="18" t="s">
        <v>5</v>
      </c>
      <c r="N6" s="5">
        <f>(P6*Variables!C1/Variables!C3)*Variables!C2</f>
        <v>4.2104029304029362</v>
      </c>
      <c r="O6" s="2" t="s">
        <v>5</v>
      </c>
      <c r="P6" s="5">
        <f>(IF(E6&lt;0,0,IF(E6&gt;4.8,4095,ROUND((E6/Variables!F3),0))))</f>
        <v>3592</v>
      </c>
      <c r="Q6" s="25"/>
      <c r="R6" s="25"/>
      <c r="S6" s="2"/>
      <c r="T6" s="1"/>
    </row>
    <row r="7" spans="1:20" ht="15.75" thickBot="1" x14ac:dyDescent="0.3">
      <c r="E7" s="57" t="s">
        <v>0</v>
      </c>
      <c r="F7" s="57"/>
      <c r="G7" s="57"/>
      <c r="H7" s="57"/>
      <c r="I7" s="57"/>
      <c r="J7" s="57"/>
      <c r="K7" s="57"/>
      <c r="L7" s="57"/>
      <c r="N7" s="4"/>
      <c r="O7" s="8"/>
      <c r="P7" s="10"/>
      <c r="Q7" s="2" t="s">
        <v>13</v>
      </c>
      <c r="R7" s="13">
        <f>(P8*2^4)+((_xlfn.BITAND(P6,3840))/(2^8))</f>
        <v>30</v>
      </c>
      <c r="S7" s="13" t="str">
        <f>IF(R7&lt;16,CONCATENATE("0x0",(DEC2HEX(R7))),CONCATENATE("0x",(DEC2HEX(R7))))</f>
        <v>0x1E</v>
      </c>
      <c r="T7" s="5" t="str">
        <f>DEC2BIN(R7,8)</f>
        <v>00011110</v>
      </c>
    </row>
    <row r="8" spans="1:20" x14ac:dyDescent="0.25">
      <c r="A8" s="48" t="s">
        <v>198</v>
      </c>
      <c r="B8" s="49"/>
      <c r="C8" s="50"/>
      <c r="E8" s="54">
        <v>1</v>
      </c>
      <c r="F8" s="55"/>
      <c r="G8" s="55"/>
      <c r="H8" s="55"/>
      <c r="I8" s="55"/>
      <c r="J8" s="55"/>
      <c r="K8" s="55"/>
      <c r="L8" s="56"/>
      <c r="M8" s="18" t="s">
        <v>4</v>
      </c>
      <c r="N8" s="5">
        <f>(IF(E8&lt;0,0,IF(E8&gt;15,15,ROUND(E8,0))))</f>
        <v>1</v>
      </c>
      <c r="O8" s="16" t="s">
        <v>4</v>
      </c>
      <c r="P8" s="5">
        <f>N8</f>
        <v>1</v>
      </c>
      <c r="Q8" s="25"/>
      <c r="R8" s="25"/>
      <c r="S8" s="2"/>
      <c r="T8" s="1"/>
    </row>
    <row r="9" spans="1:20" ht="15.75" thickBot="1" x14ac:dyDescent="0.3">
      <c r="A9" s="51"/>
      <c r="B9" s="52"/>
      <c r="C9" s="53"/>
      <c r="E9" s="57" t="s">
        <v>17</v>
      </c>
      <c r="F9" s="57"/>
      <c r="G9" s="57"/>
      <c r="H9" s="57"/>
      <c r="I9" s="57"/>
      <c r="J9" s="57"/>
      <c r="K9" s="57"/>
      <c r="L9" s="57"/>
      <c r="M9" s="1"/>
      <c r="P9" s="1"/>
      <c r="Q9" s="2" t="s">
        <v>18</v>
      </c>
      <c r="R9" s="13">
        <f>_xlfn.BITAND(P10,255)</f>
        <v>238</v>
      </c>
      <c r="S9" s="13" t="str">
        <f>IF(R9&lt;16,CONCATENATE("0x0",(DEC2HEX(R9))),CONCATENATE("0x",(DEC2HEX(R9))))</f>
        <v>0xEE</v>
      </c>
      <c r="T9" s="5" t="str">
        <f>DEC2BIN(R9,8)</f>
        <v>11101110</v>
      </c>
    </row>
    <row r="10" spans="1:20" x14ac:dyDescent="0.25">
      <c r="A10" s="58" t="s">
        <v>197</v>
      </c>
      <c r="B10" s="58"/>
      <c r="C10" s="58"/>
      <c r="E10" s="59">
        <v>4.18</v>
      </c>
      <c r="F10" s="60"/>
      <c r="G10" s="60"/>
      <c r="H10" s="60"/>
      <c r="I10" s="60"/>
      <c r="J10" s="60"/>
      <c r="K10" s="60"/>
      <c r="L10" s="61"/>
      <c r="M10" s="65" t="s">
        <v>5</v>
      </c>
      <c r="N10" s="76">
        <f>(P10*Variables!C1/Variables!C3)*Variables!C2</f>
        <v>4.1799267399267448</v>
      </c>
      <c r="O10" s="77" t="s">
        <v>5</v>
      </c>
      <c r="P10" s="79">
        <f>(IF(E10&lt;0,0,IF(E10&gt;4.8,4095,ROUND((E10/Variables!F3),0))))</f>
        <v>3566</v>
      </c>
      <c r="Q10" s="2"/>
      <c r="R10" s="3"/>
      <c r="S10" s="2"/>
      <c r="T10" s="1"/>
    </row>
    <row r="11" spans="1:20" x14ac:dyDescent="0.25">
      <c r="E11" s="62"/>
      <c r="F11" s="63"/>
      <c r="G11" s="63"/>
      <c r="H11" s="63"/>
      <c r="I11" s="63"/>
      <c r="J11" s="63"/>
      <c r="K11" s="63"/>
      <c r="L11" s="64"/>
      <c r="M11" s="66"/>
      <c r="N11" s="76"/>
      <c r="O11" s="78"/>
      <c r="P11" s="80"/>
      <c r="Q11" s="2" t="s">
        <v>19</v>
      </c>
      <c r="R11" s="13">
        <f>((_xlfn.BITAND(P10,3840))/(2^8))</f>
        <v>13</v>
      </c>
      <c r="S11" s="13" t="str">
        <f>IF(R11&lt;16,CONCATENATE("0x0",(DEC2HEX(R11))),CONCATENATE("0x",(DEC2HEX(R11))))</f>
        <v>0x0D</v>
      </c>
      <c r="T11" s="5" t="str">
        <f>DEC2BIN(R11,8)</f>
        <v>00001101</v>
      </c>
    </row>
    <row r="12" spans="1:20" x14ac:dyDescent="0.25">
      <c r="E12" s="57" t="s">
        <v>20</v>
      </c>
      <c r="F12" s="57"/>
      <c r="G12" s="57"/>
      <c r="H12" s="57"/>
      <c r="I12" s="57"/>
      <c r="J12" s="57"/>
      <c r="K12" s="57"/>
      <c r="L12" s="57"/>
      <c r="M12" s="4"/>
      <c r="N12" s="14"/>
      <c r="O12" s="6"/>
      <c r="P12" s="14"/>
      <c r="Q12" s="2"/>
      <c r="R12" s="3"/>
      <c r="S12" s="2"/>
      <c r="T12" s="1"/>
    </row>
    <row r="13" spans="1:20" x14ac:dyDescent="0.25">
      <c r="E13" s="72">
        <v>2.6</v>
      </c>
      <c r="F13" s="72"/>
      <c r="G13" s="72"/>
      <c r="H13" s="72"/>
      <c r="I13" s="72"/>
      <c r="J13" s="72"/>
      <c r="K13" s="72"/>
      <c r="L13" s="72"/>
      <c r="M13" s="17" t="s">
        <v>5</v>
      </c>
      <c r="N13" s="5">
        <f>(P13*Variables!C1/Variables!C3)*Variables!C2</f>
        <v>2.5998534798534831</v>
      </c>
      <c r="O13" s="2" t="s">
        <v>5</v>
      </c>
      <c r="P13" s="5">
        <f>(IF(E13&lt;0,0,IF(E13&gt;4.8,4095,ROUND((E13/Variables!F3),0))))</f>
        <v>2218</v>
      </c>
      <c r="Q13" s="2" t="s">
        <v>21</v>
      </c>
      <c r="R13" s="13">
        <f>_xlfn.BITAND(P13,255)</f>
        <v>170</v>
      </c>
      <c r="S13" s="13" t="str">
        <f>IF(R13&lt;16,CONCATENATE("0x0",(DEC2HEX(R13))),CONCATENATE("0x",(DEC2HEX(R13))))</f>
        <v>0xAA</v>
      </c>
      <c r="T13" s="5" t="str">
        <f>DEC2BIN(R13,8)</f>
        <v>10101010</v>
      </c>
    </row>
    <row r="14" spans="1:20" x14ac:dyDescent="0.25">
      <c r="E14" s="74" t="s">
        <v>23</v>
      </c>
      <c r="F14" s="74"/>
      <c r="G14" s="74"/>
      <c r="H14" s="74"/>
      <c r="I14" s="74"/>
      <c r="J14" s="74"/>
      <c r="K14" s="74"/>
      <c r="L14" s="74"/>
      <c r="M14" s="1"/>
      <c r="N14" s="15"/>
      <c r="P14" s="14"/>
      <c r="Q14" s="2"/>
      <c r="R14" s="2"/>
      <c r="S14" s="2"/>
      <c r="T14" s="1"/>
    </row>
    <row r="15" spans="1:20" x14ac:dyDescent="0.25">
      <c r="E15" s="72">
        <v>1</v>
      </c>
      <c r="F15" s="72"/>
      <c r="G15" s="72"/>
      <c r="H15" s="72"/>
      <c r="I15" s="72"/>
      <c r="J15" s="72"/>
      <c r="K15" s="72"/>
      <c r="L15" s="72"/>
      <c r="M15" s="2" t="s">
        <v>4</v>
      </c>
      <c r="N15" s="5">
        <f>(IF(E15&lt;0,0,IF(E15&gt;15,15,ROUND(E15,0))))</f>
        <v>1</v>
      </c>
      <c r="O15" s="2" t="s">
        <v>4</v>
      </c>
      <c r="P15" s="5">
        <f>N15</f>
        <v>1</v>
      </c>
      <c r="Q15" s="2" t="s">
        <v>22</v>
      </c>
      <c r="R15" s="13">
        <f>(P15*2^4)+((_xlfn.BITAND(P13,3840))/(2^8))</f>
        <v>24</v>
      </c>
      <c r="S15" s="13" t="str">
        <f>IF(R15&lt;16,CONCATENATE("0x0",(DEC2HEX(R15))),CONCATENATE("0x",(DEC2HEX(R15))))</f>
        <v>0x18</v>
      </c>
      <c r="T15" s="5" t="str">
        <f>DEC2BIN(R15,8)</f>
        <v>00011000</v>
      </c>
    </row>
    <row r="16" spans="1:20" x14ac:dyDescent="0.25">
      <c r="E16" s="74" t="s">
        <v>24</v>
      </c>
      <c r="F16" s="74"/>
      <c r="G16" s="74"/>
      <c r="H16" s="74"/>
      <c r="I16" s="74"/>
      <c r="J16" s="74"/>
      <c r="K16" s="74"/>
      <c r="L16" s="74"/>
      <c r="M16" s="2"/>
      <c r="P16" s="14"/>
      <c r="Q16" s="3"/>
      <c r="R16" s="2"/>
      <c r="S16" s="2"/>
      <c r="T16" s="1"/>
    </row>
    <row r="17" spans="5:20" x14ac:dyDescent="0.25">
      <c r="E17" s="75">
        <v>2.8</v>
      </c>
      <c r="F17" s="75"/>
      <c r="G17" s="75"/>
      <c r="H17" s="75"/>
      <c r="I17" s="75"/>
      <c r="J17" s="75"/>
      <c r="K17" s="75"/>
      <c r="L17" s="75"/>
      <c r="M17" s="73" t="s">
        <v>5</v>
      </c>
      <c r="N17" s="76">
        <f>(P17*Variables!C1/Variables!C3)*Variables!C2</f>
        <v>2.8002930402930435</v>
      </c>
      <c r="O17" s="73" t="s">
        <v>5</v>
      </c>
      <c r="P17" s="76">
        <f>(IF(E17&lt;0,0,IF(E17&gt;4.8,4095,ROUND((E17/Variables!F3),0))))</f>
        <v>2389</v>
      </c>
      <c r="Q17" s="2" t="s">
        <v>25</v>
      </c>
      <c r="R17" s="13">
        <f>_xlfn.BITAND(P17,255)</f>
        <v>85</v>
      </c>
      <c r="S17" s="13" t="str">
        <f>IF(R17&lt;16,CONCATENATE("0x0",(DEC2HEX(R17))),CONCATENATE("0x",(DEC2HEX(R17))))</f>
        <v>0x55</v>
      </c>
      <c r="T17" s="5" t="str">
        <f>DEC2BIN(R17,8)</f>
        <v>01010101</v>
      </c>
    </row>
    <row r="18" spans="5:20" x14ac:dyDescent="0.25">
      <c r="E18" s="75"/>
      <c r="F18" s="75"/>
      <c r="G18" s="75"/>
      <c r="H18" s="75"/>
      <c r="I18" s="75"/>
      <c r="J18" s="75"/>
      <c r="K18" s="75"/>
      <c r="L18" s="75"/>
      <c r="M18" s="73"/>
      <c r="N18" s="76"/>
      <c r="O18" s="73"/>
      <c r="P18" s="76"/>
      <c r="Q18" s="2"/>
      <c r="R18" s="2"/>
      <c r="S18" s="2"/>
      <c r="T18" s="1"/>
    </row>
    <row r="19" spans="5:20" x14ac:dyDescent="0.25">
      <c r="E19" s="75"/>
      <c r="F19" s="75"/>
      <c r="G19" s="75"/>
      <c r="H19" s="75"/>
      <c r="I19" s="75"/>
      <c r="J19" s="75"/>
      <c r="K19" s="75"/>
      <c r="L19" s="75"/>
      <c r="M19" s="73"/>
      <c r="N19" s="76"/>
      <c r="O19" s="73"/>
      <c r="P19" s="76"/>
      <c r="Q19" s="2" t="s">
        <v>26</v>
      </c>
      <c r="R19" s="13">
        <f>((_xlfn.BITAND(P17,3840))/(2^8))</f>
        <v>9</v>
      </c>
      <c r="S19" s="13" t="str">
        <f>IF(R19&lt;16,CONCATENATE("0x0",(DEC2HEX(R19))),CONCATENATE("0x",(DEC2HEX(R19))))</f>
        <v>0x09</v>
      </c>
      <c r="T19" s="5" t="str">
        <f>DEC2BIN(R19,8)</f>
        <v>00001001</v>
      </c>
    </row>
    <row r="20" spans="5:20" x14ac:dyDescent="0.25">
      <c r="E20" s="57" t="s">
        <v>27</v>
      </c>
      <c r="F20" s="57"/>
      <c r="G20" s="57"/>
      <c r="H20" s="57"/>
      <c r="I20" s="57"/>
      <c r="J20" s="57"/>
      <c r="K20" s="57"/>
      <c r="L20" s="57"/>
      <c r="M20" s="1"/>
      <c r="P20" s="1"/>
      <c r="Q20" s="3"/>
      <c r="R20" s="2"/>
      <c r="S20" s="2"/>
      <c r="T20" s="1"/>
    </row>
    <row r="21" spans="5:20" x14ac:dyDescent="0.25">
      <c r="E21" s="75">
        <v>4.3</v>
      </c>
      <c r="F21" s="75"/>
      <c r="G21" s="75"/>
      <c r="H21" s="75"/>
      <c r="I21" s="75"/>
      <c r="J21" s="75"/>
      <c r="K21" s="75"/>
      <c r="L21" s="75"/>
      <c r="M21" s="73" t="s">
        <v>5</v>
      </c>
      <c r="N21" s="79">
        <f>(P21*Variables!C1/Variables!C3)*Variables!C2</f>
        <v>4.2994871794871852</v>
      </c>
      <c r="O21" s="73" t="s">
        <v>5</v>
      </c>
      <c r="P21" s="76">
        <f>(IF(E21&lt;0,0,IF(E21&gt;4.8,4095,ROUND((E21/Variables!F3),0))))</f>
        <v>3668</v>
      </c>
      <c r="Q21" s="2" t="s">
        <v>28</v>
      </c>
      <c r="R21" s="13">
        <f>_xlfn.BITAND(P21,255)</f>
        <v>84</v>
      </c>
      <c r="S21" s="13" t="str">
        <f>IF(R21&lt;16,CONCATENATE("0x0",(DEC2HEX(R21))),CONCATENATE("0x",(DEC2HEX(R21))))</f>
        <v>0x54</v>
      </c>
      <c r="T21" s="5" t="str">
        <f>DEC2BIN(R21,8)</f>
        <v>01010100</v>
      </c>
    </row>
    <row r="22" spans="5:20" x14ac:dyDescent="0.25">
      <c r="E22" s="75"/>
      <c r="F22" s="75"/>
      <c r="G22" s="75"/>
      <c r="H22" s="75"/>
      <c r="I22" s="75"/>
      <c r="J22" s="75"/>
      <c r="K22" s="75"/>
      <c r="L22" s="75"/>
      <c r="M22" s="73"/>
      <c r="N22" s="82"/>
      <c r="O22" s="73"/>
      <c r="P22" s="76"/>
      <c r="Q22" s="2"/>
      <c r="R22" s="2"/>
      <c r="S22" s="2"/>
      <c r="T22" s="1"/>
    </row>
    <row r="23" spans="5:20" x14ac:dyDescent="0.25">
      <c r="E23" s="75"/>
      <c r="F23" s="75"/>
      <c r="G23" s="75"/>
      <c r="H23" s="75"/>
      <c r="I23" s="75"/>
      <c r="J23" s="75"/>
      <c r="K23" s="75"/>
      <c r="L23" s="75"/>
      <c r="M23" s="73"/>
      <c r="N23" s="80"/>
      <c r="O23" s="73"/>
      <c r="P23" s="76"/>
      <c r="Q23" s="2" t="s">
        <v>29</v>
      </c>
      <c r="R23" s="13">
        <f>((_xlfn.BITAND(P21,3840))/(2^8))</f>
        <v>14</v>
      </c>
      <c r="S23" s="13" t="str">
        <f>IF(R23&lt;16,CONCATENATE("0x0",(DEC2HEX(R23))),CONCATENATE("0x",(DEC2HEX(R23))))</f>
        <v>0x0E</v>
      </c>
      <c r="T23" s="5" t="str">
        <f>DEC2BIN(R23,8)</f>
        <v>00001110</v>
      </c>
    </row>
    <row r="24" spans="5:20" x14ac:dyDescent="0.25">
      <c r="E24" s="57" t="s">
        <v>31</v>
      </c>
      <c r="F24" s="57"/>
      <c r="G24" s="57"/>
      <c r="H24" s="57"/>
      <c r="I24" s="57"/>
      <c r="J24" s="57"/>
      <c r="K24" s="57"/>
      <c r="L24" s="57"/>
      <c r="M24" s="1"/>
      <c r="P24" s="1"/>
      <c r="Q24" s="2"/>
      <c r="R24" s="2"/>
      <c r="S24" s="2"/>
      <c r="T24" s="1"/>
    </row>
    <row r="25" spans="5:20" x14ac:dyDescent="0.25">
      <c r="E25" s="75">
        <v>2.5</v>
      </c>
      <c r="F25" s="75"/>
      <c r="G25" s="75"/>
      <c r="H25" s="75"/>
      <c r="I25" s="75"/>
      <c r="J25" s="75"/>
      <c r="K25" s="75"/>
      <c r="L25" s="75"/>
      <c r="M25" s="73" t="s">
        <v>5</v>
      </c>
      <c r="N25" s="76">
        <f>(P25*Variables!C1/Variables!C3)*Variables!C2</f>
        <v>2.5002197802197834</v>
      </c>
      <c r="O25" s="65" t="s">
        <v>5</v>
      </c>
      <c r="P25" s="76">
        <f>(IF(E25&lt;0,0,IF(E25&gt;4.8,4095,ROUND((E25/Variables!F3),0))))</f>
        <v>2133</v>
      </c>
      <c r="Q25" s="2" t="s">
        <v>32</v>
      </c>
      <c r="R25" s="13">
        <f>_xlfn.BITAND(P25,255)</f>
        <v>85</v>
      </c>
      <c r="S25" s="13" t="str">
        <f>IF(R25&lt;16,CONCATENATE("0x0",(DEC2HEX(R25))),CONCATENATE("0x",(DEC2HEX(R25))))</f>
        <v>0x55</v>
      </c>
      <c r="T25" s="5" t="str">
        <f>DEC2BIN(R25,8)</f>
        <v>01010101</v>
      </c>
    </row>
    <row r="26" spans="5:20" x14ac:dyDescent="0.25">
      <c r="E26" s="75"/>
      <c r="F26" s="75"/>
      <c r="G26" s="75"/>
      <c r="H26" s="75"/>
      <c r="I26" s="75"/>
      <c r="J26" s="75"/>
      <c r="K26" s="75"/>
      <c r="L26" s="75"/>
      <c r="M26" s="73"/>
      <c r="N26" s="76"/>
      <c r="O26" s="81"/>
      <c r="P26" s="76"/>
      <c r="Q26" s="2"/>
      <c r="R26" s="2"/>
      <c r="S26" s="2"/>
      <c r="T26" s="1"/>
    </row>
    <row r="27" spans="5:20" x14ac:dyDescent="0.25">
      <c r="E27" s="75"/>
      <c r="F27" s="75"/>
      <c r="G27" s="75"/>
      <c r="H27" s="75"/>
      <c r="I27" s="75"/>
      <c r="J27" s="75"/>
      <c r="K27" s="75"/>
      <c r="L27" s="75"/>
      <c r="M27" s="73"/>
      <c r="N27" s="76"/>
      <c r="O27" s="66"/>
      <c r="P27" s="76"/>
      <c r="Q27" s="2" t="s">
        <v>33</v>
      </c>
      <c r="R27" s="13">
        <f>((_xlfn.BITAND(P25,3840))/(2^8))</f>
        <v>8</v>
      </c>
      <c r="S27" s="13" t="str">
        <f>IF(R27&lt;16,CONCATENATE("0x0",(DEC2HEX(R27))),CONCATENATE("0x",(DEC2HEX(R27))))</f>
        <v>0x08</v>
      </c>
      <c r="T27" s="5" t="str">
        <f>DEC2BIN(R27,8)</f>
        <v>00001000</v>
      </c>
    </row>
    <row r="28" spans="5:20" x14ac:dyDescent="0.25">
      <c r="E28" s="57" t="s">
        <v>34</v>
      </c>
      <c r="F28" s="57"/>
      <c r="G28" s="57"/>
      <c r="H28" s="57"/>
      <c r="I28" s="57"/>
      <c r="J28" s="57"/>
      <c r="K28" s="57"/>
      <c r="L28" s="57"/>
      <c r="M28" s="1"/>
      <c r="P28" s="1"/>
      <c r="Q28" s="2"/>
      <c r="R28" s="2"/>
      <c r="S28" s="2"/>
      <c r="T28" s="1"/>
    </row>
    <row r="29" spans="5:20" x14ac:dyDescent="0.25">
      <c r="E29" s="59">
        <v>4.18</v>
      </c>
      <c r="F29" s="60"/>
      <c r="G29" s="60"/>
      <c r="H29" s="60"/>
      <c r="I29" s="60"/>
      <c r="J29" s="60"/>
      <c r="K29" s="60"/>
      <c r="L29" s="61"/>
      <c r="M29" s="65" t="s">
        <v>5</v>
      </c>
      <c r="N29" s="76">
        <f>(P29*Variables!C1/Variables!C3)*Variables!C2</f>
        <v>4.1799267399267448</v>
      </c>
      <c r="O29" s="73" t="s">
        <v>5</v>
      </c>
      <c r="P29" s="76">
        <f>(IF(E29&lt;0,0,IF(E29&gt;4.8,4095,ROUND((E29/Variables!F3),0))))</f>
        <v>3566</v>
      </c>
      <c r="Q29" s="2" t="s">
        <v>35</v>
      </c>
      <c r="R29" s="13">
        <f>_xlfn.BITAND(P29,255)</f>
        <v>238</v>
      </c>
      <c r="S29" s="13" t="str">
        <f>IF(R29&lt;16,CONCATENATE("0x0",(DEC2HEX(R29))),CONCATENATE("0x",(DEC2HEX(R29))))</f>
        <v>0xEE</v>
      </c>
      <c r="T29" s="5" t="str">
        <f>DEC2BIN(R29,8)</f>
        <v>11101110</v>
      </c>
    </row>
    <row r="30" spans="5:20" x14ac:dyDescent="0.25">
      <c r="E30" s="83"/>
      <c r="F30" s="84"/>
      <c r="G30" s="84"/>
      <c r="H30" s="84"/>
      <c r="I30" s="84"/>
      <c r="J30" s="84"/>
      <c r="K30" s="84"/>
      <c r="L30" s="85"/>
      <c r="M30" s="81"/>
      <c r="N30" s="76"/>
      <c r="O30" s="73"/>
      <c r="P30" s="76"/>
      <c r="Q30" s="2"/>
      <c r="R30" s="2"/>
      <c r="S30" s="2"/>
      <c r="T30" s="1"/>
    </row>
    <row r="31" spans="5:20" x14ac:dyDescent="0.25">
      <c r="E31" s="62"/>
      <c r="F31" s="63"/>
      <c r="G31" s="63"/>
      <c r="H31" s="63"/>
      <c r="I31" s="63"/>
      <c r="J31" s="63"/>
      <c r="K31" s="63"/>
      <c r="L31" s="64"/>
      <c r="M31" s="66"/>
      <c r="N31" s="76"/>
      <c r="O31" s="73"/>
      <c r="P31" s="76"/>
      <c r="Q31" s="2" t="s">
        <v>38</v>
      </c>
      <c r="R31" s="13">
        <f>((_xlfn.BITAND(P29,3840))/(2^8))</f>
        <v>13</v>
      </c>
      <c r="S31" s="13" t="str">
        <f>IF(R31&lt;16,CONCATENATE("0x0",(DEC2HEX(R31))),CONCATENATE("0x",(DEC2HEX(R31))))</f>
        <v>0x0D</v>
      </c>
      <c r="T31" s="5" t="str">
        <f>DEC2BIN(R31,8)</f>
        <v>00001101</v>
      </c>
    </row>
    <row r="32" spans="5:20" x14ac:dyDescent="0.25">
      <c r="E32" s="57" t="s">
        <v>36</v>
      </c>
      <c r="F32" s="57"/>
      <c r="G32" s="57"/>
      <c r="H32" s="57"/>
      <c r="I32" s="57"/>
      <c r="J32" s="57"/>
      <c r="K32" s="57"/>
      <c r="L32" s="57"/>
      <c r="M32" s="1"/>
      <c r="P32" s="1"/>
      <c r="Q32" s="2"/>
      <c r="R32" s="2"/>
      <c r="S32" s="2"/>
      <c r="T32" s="1"/>
    </row>
    <row r="33" spans="5:20" x14ac:dyDescent="0.25">
      <c r="E33" s="75">
        <v>2.7</v>
      </c>
      <c r="F33" s="75"/>
      <c r="G33" s="75"/>
      <c r="H33" s="75"/>
      <c r="I33" s="75"/>
      <c r="J33" s="75"/>
      <c r="K33" s="75"/>
      <c r="L33" s="75"/>
      <c r="M33" s="73" t="s">
        <v>5</v>
      </c>
      <c r="N33" s="76">
        <f>(P33*Variables!C1/Variables!C3)*Variables!C2</f>
        <v>2.6994871794871829</v>
      </c>
      <c r="O33" s="73" t="s">
        <v>5</v>
      </c>
      <c r="P33" s="76">
        <f>(IF(E33&lt;0,0,IF(E33&gt;4.8,4095,ROUND((E33/Variables!F3),0))))</f>
        <v>2303</v>
      </c>
      <c r="Q33" s="2" t="s">
        <v>37</v>
      </c>
      <c r="R33" s="13">
        <f>_xlfn.BITAND(P33,255)</f>
        <v>255</v>
      </c>
      <c r="S33" s="13" t="str">
        <f>IF(R33&lt;16,CONCATENATE("0x0",(DEC2HEX(R33))),CONCATENATE("0x",(DEC2HEX(R33))))</f>
        <v>0xFF</v>
      </c>
      <c r="T33" s="5" t="str">
        <f>DEC2BIN(R33,8)</f>
        <v>11111111</v>
      </c>
    </row>
    <row r="34" spans="5:20" x14ac:dyDescent="0.25">
      <c r="E34" s="75"/>
      <c r="F34" s="75"/>
      <c r="G34" s="75"/>
      <c r="H34" s="75"/>
      <c r="I34" s="75"/>
      <c r="J34" s="75"/>
      <c r="K34" s="75"/>
      <c r="L34" s="75"/>
      <c r="M34" s="73"/>
      <c r="N34" s="76"/>
      <c r="O34" s="73"/>
      <c r="P34" s="76"/>
      <c r="Q34" s="2"/>
      <c r="R34" s="2"/>
      <c r="S34" s="2"/>
      <c r="T34" s="1"/>
    </row>
    <row r="35" spans="5:20" x14ac:dyDescent="0.25">
      <c r="E35" s="75"/>
      <c r="F35" s="75"/>
      <c r="G35" s="75"/>
      <c r="H35" s="75"/>
      <c r="I35" s="75"/>
      <c r="J35" s="75"/>
      <c r="K35" s="75"/>
      <c r="L35" s="75"/>
      <c r="M35" s="73"/>
      <c r="N35" s="76"/>
      <c r="O35" s="73"/>
      <c r="P35" s="76"/>
      <c r="Q35" s="2" t="s">
        <v>39</v>
      </c>
      <c r="R35" s="13">
        <f>((_xlfn.BITAND(P33,3840))/(2^8))</f>
        <v>8</v>
      </c>
      <c r="S35" s="13" t="str">
        <f>IF(R35&lt;16,CONCATENATE("0x0",(DEC2HEX(R35))),CONCATENATE("0x",(DEC2HEX(R35))))</f>
        <v>0x08</v>
      </c>
      <c r="T35" s="5" t="str">
        <f>DEC2BIN(R35,8)</f>
        <v>00001000</v>
      </c>
    </row>
    <row r="36" spans="5:20" x14ac:dyDescent="0.25">
      <c r="E36" s="57" t="s">
        <v>42</v>
      </c>
      <c r="F36" s="57"/>
      <c r="G36" s="57"/>
      <c r="H36" s="57"/>
      <c r="I36" s="57"/>
      <c r="J36" s="57"/>
      <c r="K36" s="57"/>
      <c r="L36" s="57"/>
      <c r="M36" s="1"/>
      <c r="P36" s="1"/>
      <c r="Q36" s="2"/>
      <c r="R36" s="2"/>
      <c r="S36" s="2"/>
      <c r="T36" s="1"/>
    </row>
    <row r="37" spans="5:20" x14ac:dyDescent="0.25">
      <c r="E37" s="54">
        <v>1</v>
      </c>
      <c r="F37" s="55"/>
      <c r="G37" s="55"/>
      <c r="H37" s="55"/>
      <c r="I37" s="55"/>
      <c r="J37" s="55"/>
      <c r="K37" s="55"/>
      <c r="L37" s="56"/>
      <c r="M37" s="16"/>
      <c r="N37" s="22">
        <f>IF(E37&lt;0,"0",IF(E37&gt;1024,"1024",ROUND(E37,0)))</f>
        <v>1</v>
      </c>
      <c r="O37" s="22" t="str">
        <f>N40</f>
        <v>s</v>
      </c>
      <c r="P37" s="23">
        <f>N37</f>
        <v>1</v>
      </c>
      <c r="Q37" s="2" t="s">
        <v>41</v>
      </c>
      <c r="R37" s="13">
        <f>_xlfn.BITAND(P37,255)</f>
        <v>1</v>
      </c>
      <c r="S37" s="13" t="str">
        <f>IF(R37&lt;16,CONCATENATE("0x0",(DEC2HEX(R37))),CONCATENATE("0x",(DEC2HEX(R37))))</f>
        <v>0x01</v>
      </c>
      <c r="T37" s="5" t="str">
        <f>DEC2BIN(R37,8)</f>
        <v>00000001</v>
      </c>
    </row>
    <row r="38" spans="5:20" x14ac:dyDescent="0.25">
      <c r="E38" s="89" t="s">
        <v>40</v>
      </c>
      <c r="F38" s="90"/>
      <c r="G38" s="90"/>
      <c r="H38" s="90"/>
      <c r="I38" s="90"/>
      <c r="J38" s="90"/>
      <c r="K38" s="90"/>
      <c r="L38" s="91"/>
      <c r="M38" s="11"/>
      <c r="P38" s="11"/>
      <c r="Q38" s="24"/>
      <c r="R38" s="24"/>
      <c r="S38" s="24"/>
      <c r="T38" s="1"/>
    </row>
    <row r="39" spans="5:20" x14ac:dyDescent="0.25">
      <c r="E39" s="86" t="s">
        <v>45</v>
      </c>
      <c r="F39" s="87"/>
      <c r="G39" s="87"/>
      <c r="H39" s="88"/>
      <c r="I39" s="86" t="s">
        <v>46</v>
      </c>
      <c r="J39" s="87"/>
      <c r="K39" s="87"/>
      <c r="L39" s="88"/>
      <c r="M39" s="1"/>
      <c r="P39" s="1"/>
      <c r="Q39" s="2" t="s">
        <v>43</v>
      </c>
      <c r="R39" s="13">
        <f>(P40*4)+((_xlfn.BITAND(P37,768)/2^8))</f>
        <v>8</v>
      </c>
      <c r="S39" s="13" t="str">
        <f>IF(R39&lt;16,CONCATENATE("0x0",(DEC2HEX(R39))),CONCATENATE("0x",(DEC2HEX(R39))))</f>
        <v>0x08</v>
      </c>
      <c r="T39" s="5" t="str">
        <f>DEC2BIN(R39,8)</f>
        <v>00001000</v>
      </c>
    </row>
    <row r="40" spans="5:20" x14ac:dyDescent="0.25">
      <c r="E40" s="54">
        <v>1</v>
      </c>
      <c r="F40" s="55"/>
      <c r="G40" s="55"/>
      <c r="H40" s="56"/>
      <c r="I40" s="72">
        <v>0</v>
      </c>
      <c r="J40" s="72"/>
      <c r="K40" s="72"/>
      <c r="L40" s="72"/>
      <c r="M40" s="21"/>
      <c r="N40" s="13" t="str">
        <f>IF(((E40*2 +I40) = 3),"min",IF((E40*2+I40 = 2), "s",IF((E40*2+I40=1),"ms","us")))</f>
        <v>s</v>
      </c>
      <c r="O40" s="16"/>
      <c r="P40" s="22">
        <f>IF(N40="min",3,IF(N40="s",2,IF(N40="ms",1,0)))</f>
        <v>2</v>
      </c>
      <c r="Q40" s="2"/>
      <c r="R40" s="2"/>
      <c r="S40" s="2"/>
      <c r="T40" s="1"/>
    </row>
    <row r="41" spans="5:20" x14ac:dyDescent="0.25">
      <c r="E41" s="57" t="s">
        <v>201</v>
      </c>
      <c r="F41" s="57"/>
      <c r="G41" s="57"/>
      <c r="H41" s="57"/>
      <c r="I41" s="57"/>
      <c r="J41" s="57"/>
      <c r="K41" s="57"/>
      <c r="L41" s="57"/>
      <c r="M41" s="11"/>
      <c r="P41" s="11"/>
      <c r="Q41" s="24" t="s">
        <v>44</v>
      </c>
      <c r="R41" s="13">
        <f>_xlfn.BITAND(P42,255)</f>
        <v>5</v>
      </c>
      <c r="S41" s="13" t="str">
        <f>IF(R41&lt;16,CONCATENATE("0x0",(DEC2HEX(R41))),CONCATENATE("0x",(DEC2HEX(R41))))</f>
        <v>0x05</v>
      </c>
      <c r="T41" s="5" t="str">
        <f>DEC2BIN(R41,8)</f>
        <v>00000101</v>
      </c>
    </row>
    <row r="42" spans="5:20" x14ac:dyDescent="0.25">
      <c r="E42" s="72">
        <v>5</v>
      </c>
      <c r="F42" s="72"/>
      <c r="G42" s="72"/>
      <c r="H42" s="72"/>
      <c r="I42" s="72"/>
      <c r="J42" s="72"/>
      <c r="K42" s="72"/>
      <c r="L42" s="72"/>
      <c r="M42" s="16"/>
      <c r="N42" s="22">
        <f>IF(E42&lt;0,"0",IF(E42&gt;1024,"1024",ROUND(E42,0)))</f>
        <v>5</v>
      </c>
      <c r="O42" s="16"/>
      <c r="P42" s="22">
        <f>N42</f>
        <v>5</v>
      </c>
      <c r="Q42" s="2"/>
      <c r="R42" s="2"/>
      <c r="S42" s="2"/>
      <c r="T42" s="1"/>
    </row>
    <row r="43" spans="5:20" x14ac:dyDescent="0.25">
      <c r="E43" s="57" t="s">
        <v>180</v>
      </c>
      <c r="F43" s="57"/>
      <c r="G43" s="57"/>
      <c r="H43" s="57"/>
      <c r="I43" s="57"/>
      <c r="J43" s="57"/>
      <c r="K43" s="57"/>
      <c r="L43" s="57"/>
      <c r="M43" s="11"/>
      <c r="P43" s="11"/>
      <c r="Q43" s="2" t="s">
        <v>47</v>
      </c>
      <c r="R43" s="13">
        <f>(P45*4)+((_xlfn.BITAND(P42,768)/2^8))</f>
        <v>8</v>
      </c>
      <c r="S43" s="13" t="str">
        <f>IF(R43&lt;16,CONCATENATE("0x0",(DEC2HEX(R43))),CONCATENATE("0x",(DEC2HEX(R43))))</f>
        <v>0x08</v>
      </c>
      <c r="T43" s="5" t="str">
        <f>DEC2BIN(R43,8)</f>
        <v>00001000</v>
      </c>
    </row>
    <row r="44" spans="5:20" x14ac:dyDescent="0.25">
      <c r="E44" s="86" t="s">
        <v>82</v>
      </c>
      <c r="F44" s="87"/>
      <c r="G44" s="87"/>
      <c r="H44" s="88"/>
      <c r="I44" s="86" t="s">
        <v>179</v>
      </c>
      <c r="J44" s="87"/>
      <c r="K44" s="87"/>
      <c r="L44" s="88"/>
      <c r="M44" s="11"/>
      <c r="P44" s="11"/>
      <c r="Q44" s="2"/>
      <c r="R44" s="2"/>
      <c r="S44" s="2"/>
      <c r="T44" s="1"/>
    </row>
    <row r="45" spans="5:20" x14ac:dyDescent="0.25">
      <c r="E45" s="75">
        <v>1</v>
      </c>
      <c r="F45" s="75"/>
      <c r="G45" s="75"/>
      <c r="H45" s="75"/>
      <c r="I45" s="75">
        <v>0</v>
      </c>
      <c r="J45" s="75"/>
      <c r="K45" s="75"/>
      <c r="L45" s="75"/>
      <c r="M45" s="16"/>
      <c r="N45" s="22" t="str">
        <f>IF(((E45*2 +I45) = 3),"min",IF((E45*2+I45 = 2), "s",IF((E45*2+I45=1),"ms","us")))</f>
        <v>s</v>
      </c>
      <c r="O45" s="16"/>
      <c r="P45" s="22">
        <f>IF(N45="min",3,IF(N45="s",2,IF(N45="ms",1,0)))</f>
        <v>2</v>
      </c>
      <c r="Q45" s="16"/>
      <c r="R45" s="16"/>
      <c r="S45" s="16"/>
      <c r="T45" s="1"/>
    </row>
    <row r="46" spans="5:20" x14ac:dyDescent="0.25">
      <c r="E46" s="57" t="s">
        <v>49</v>
      </c>
      <c r="F46" s="57"/>
      <c r="G46" s="57"/>
      <c r="H46" s="57"/>
      <c r="I46" s="57"/>
      <c r="J46" s="57"/>
      <c r="K46" s="57"/>
      <c r="L46" s="57"/>
      <c r="M46" s="11"/>
      <c r="P46" s="11"/>
      <c r="Q46" s="24" t="s">
        <v>48</v>
      </c>
      <c r="R46" s="26">
        <f>_xlfn.BITAND(P47,255)</f>
        <v>20</v>
      </c>
      <c r="S46" s="26" t="str">
        <f>IF(R46&lt;16,CONCATENATE("0x0",(DEC2HEX(R46))),CONCATENATE("0x",(DEC2HEX(R46))))</f>
        <v>0x14</v>
      </c>
      <c r="T46" s="5" t="str">
        <f>DEC2BIN(R46,8)</f>
        <v>00010100</v>
      </c>
    </row>
    <row r="47" spans="5:20" x14ac:dyDescent="0.25">
      <c r="E47" s="97">
        <v>20</v>
      </c>
      <c r="F47" s="97"/>
      <c r="G47" s="97"/>
      <c r="H47" s="97"/>
      <c r="I47" s="97"/>
      <c r="J47" s="97"/>
      <c r="K47" s="97"/>
      <c r="L47" s="97"/>
      <c r="M47" s="16"/>
      <c r="N47" s="22">
        <f>IF(E47&lt;0, "0", IF(E47 &gt; 511, "511",ROUND(E47,0)))</f>
        <v>20</v>
      </c>
      <c r="O47" s="22" t="str">
        <f>N49</f>
        <v>ms</v>
      </c>
      <c r="P47" s="22">
        <f>N47</f>
        <v>20</v>
      </c>
      <c r="Q47" s="2"/>
      <c r="R47" s="2"/>
      <c r="S47" s="2"/>
      <c r="T47" s="1"/>
    </row>
    <row r="48" spans="5:20" x14ac:dyDescent="0.25">
      <c r="E48" s="98" t="s">
        <v>50</v>
      </c>
      <c r="F48" s="98"/>
      <c r="G48" s="98"/>
      <c r="H48" s="98"/>
      <c r="I48" s="98"/>
      <c r="J48" s="98"/>
      <c r="K48" s="98"/>
      <c r="L48" s="98"/>
      <c r="M48" s="11"/>
      <c r="P48" s="11"/>
      <c r="Q48" s="2" t="s">
        <v>51</v>
      </c>
      <c r="R48" s="13">
        <f>(P49*2)+((_xlfn.BITAND(P47,256)/2^8))</f>
        <v>2</v>
      </c>
      <c r="S48" s="13" t="str">
        <f>IF(R48&lt;16,CONCATENATE("0x0",(DEC2HEX(R48))),CONCATENATE("0x",(DEC2HEX(R48))))</f>
        <v>0x02</v>
      </c>
      <c r="T48" s="5" t="str">
        <f>DEC2BIN(R48,8)</f>
        <v>00000010</v>
      </c>
    </row>
    <row r="49" spans="5:20" x14ac:dyDescent="0.25">
      <c r="E49" s="72">
        <v>1</v>
      </c>
      <c r="F49" s="72"/>
      <c r="G49" s="72"/>
      <c r="H49" s="72"/>
      <c r="I49" s="72"/>
      <c r="J49" s="72"/>
      <c r="K49" s="72"/>
      <c r="L49" s="72"/>
      <c r="M49" s="20"/>
      <c r="N49" s="13" t="str">
        <f>IF((E49=1),"ms","us")</f>
        <v>ms</v>
      </c>
      <c r="O49" s="2"/>
      <c r="P49" s="13">
        <f>IF(N49="ms",1,0)</f>
        <v>1</v>
      </c>
      <c r="Q49" s="2"/>
      <c r="R49" s="2"/>
      <c r="S49" s="2"/>
      <c r="T49" s="1"/>
    </row>
    <row r="50" spans="5:20" x14ac:dyDescent="0.25">
      <c r="E50" s="99" t="s">
        <v>52</v>
      </c>
      <c r="F50" s="99"/>
      <c r="G50" s="99"/>
      <c r="H50" s="99"/>
      <c r="I50" s="99"/>
      <c r="J50" s="99"/>
      <c r="K50" s="99"/>
      <c r="L50" s="99"/>
      <c r="P50" s="1"/>
      <c r="Q50" s="1"/>
      <c r="R50" s="1"/>
      <c r="S50" s="1"/>
      <c r="T50" s="1"/>
    </row>
    <row r="51" spans="5:20" x14ac:dyDescent="0.25">
      <c r="E51" s="100">
        <v>100</v>
      </c>
      <c r="F51" s="100"/>
      <c r="G51" s="100"/>
      <c r="H51" s="100"/>
      <c r="I51" s="100"/>
      <c r="J51" s="100"/>
      <c r="K51" s="100"/>
      <c r="L51" s="100"/>
      <c r="M51" s="16"/>
      <c r="N51" s="22">
        <f>IF(E51&lt;0, "0", IF(E51 &gt; 1024, "1024",ROUND(E51,0)))</f>
        <v>100</v>
      </c>
      <c r="O51" s="22" t="str">
        <f>N53</f>
        <v>ms</v>
      </c>
      <c r="P51" s="23">
        <f>N51</f>
        <v>100</v>
      </c>
      <c r="Q51" s="2" t="s">
        <v>53</v>
      </c>
      <c r="R51" s="13">
        <f>_xlfn.BITAND(P51,255)</f>
        <v>100</v>
      </c>
      <c r="S51" s="13" t="str">
        <f>IF(R51&lt;16,CONCATENATE("0x0",(DEC2HEX(R51))),CONCATENATE("0x",(DEC2HEX(R51))))</f>
        <v>0x64</v>
      </c>
      <c r="T51" s="5" t="str">
        <f>DEC2BIN(R51,8)</f>
        <v>01100100</v>
      </c>
    </row>
    <row r="52" spans="5:20" x14ac:dyDescent="0.25">
      <c r="E52" s="57" t="s">
        <v>54</v>
      </c>
      <c r="F52" s="57"/>
      <c r="G52" s="57"/>
      <c r="H52" s="57"/>
      <c r="I52" s="57"/>
      <c r="J52" s="57"/>
      <c r="K52" s="57"/>
      <c r="L52" s="57"/>
      <c r="M52" s="1"/>
      <c r="P52" s="1"/>
      <c r="Q52" s="2"/>
      <c r="R52" s="2"/>
      <c r="S52" s="2"/>
      <c r="T52" s="1"/>
    </row>
    <row r="53" spans="5:20" x14ac:dyDescent="0.25">
      <c r="E53" s="92" t="s">
        <v>55</v>
      </c>
      <c r="F53" s="93"/>
      <c r="G53" s="93"/>
      <c r="H53" s="57" t="s">
        <v>56</v>
      </c>
      <c r="I53" s="57"/>
      <c r="J53" s="57"/>
      <c r="K53" s="86" t="s">
        <v>10</v>
      </c>
      <c r="L53" s="88"/>
      <c r="M53" s="20" t="s">
        <v>10</v>
      </c>
      <c r="N53" s="13" t="str">
        <f>IF(((K54*2 +L54) = 3),"min",IF((K54*2+L54 = 2), "s",IF((K54*2+L54=1),"ms","us")))</f>
        <v>ms</v>
      </c>
      <c r="O53" s="2"/>
      <c r="P53" s="1"/>
      <c r="Q53" s="2" t="s">
        <v>59</v>
      </c>
      <c r="R53" s="13">
        <f>(P54*4)+((_xlfn.BITAND(P51,768)/2^8))</f>
        <v>84</v>
      </c>
      <c r="S53" s="13" t="str">
        <f>IF(R53&lt;16,CONCATENATE("0x0",(DEC2HEX(R53))),CONCATENATE("0x",(DEC2HEX(R53))))</f>
        <v>0x54</v>
      </c>
      <c r="T53" s="5" t="str">
        <f>DEC2BIN(R53,8)</f>
        <v>01010100</v>
      </c>
    </row>
    <row r="54" spans="5:20" x14ac:dyDescent="0.25">
      <c r="E54" s="94"/>
      <c r="F54" s="95"/>
      <c r="G54" s="96"/>
      <c r="H54" s="12">
        <v>1</v>
      </c>
      <c r="I54" s="12">
        <v>0</v>
      </c>
      <c r="J54" s="12">
        <v>1</v>
      </c>
      <c r="K54" s="12">
        <v>0</v>
      </c>
      <c r="L54" s="12">
        <v>1</v>
      </c>
      <c r="M54" s="20" t="s">
        <v>57</v>
      </c>
      <c r="N54" s="13">
        <f>IF(AND(H54 = 0,I54=0,J54=0), 4,IF(AND(H54 = 0,I54=0,J54=1),8,IF(AND(H54 = 0,I54=1,J54=0),16,IF(AND(H54 = 0,I54=1,J54=1),24,IF(AND(H54 = 1,I54=0,J54=0),32,IF(AND(H54 = 1,I54=0,J54=1),48,IF(AND(H54 = 1,I54=1,J54=0),64,IF(AND(H54 = 1,I54=1,J54=1),96,"false"))))))))</f>
        <v>48</v>
      </c>
      <c r="O54" s="2" t="s">
        <v>58</v>
      </c>
      <c r="P54" s="5">
        <f>BIN2DEC(CONCATENATE(H54,I54,J54,K54,L54))</f>
        <v>21</v>
      </c>
      <c r="Q54" s="2"/>
      <c r="R54" s="2"/>
      <c r="S54" s="2"/>
      <c r="T54" s="1"/>
    </row>
    <row r="55" spans="5:20" x14ac:dyDescent="0.25">
      <c r="E55" s="57" t="s">
        <v>60</v>
      </c>
      <c r="F55" s="57"/>
      <c r="G55" s="57"/>
      <c r="H55" s="57"/>
      <c r="I55" s="57"/>
      <c r="J55" s="57"/>
      <c r="K55" s="57"/>
      <c r="L55" s="57"/>
      <c r="P55" s="1"/>
      <c r="Q55" s="1"/>
      <c r="R55" s="1"/>
      <c r="S55" s="1"/>
      <c r="T55" s="1"/>
    </row>
    <row r="56" spans="5:20" x14ac:dyDescent="0.25">
      <c r="E56" s="72">
        <v>50</v>
      </c>
      <c r="F56" s="72"/>
      <c r="G56" s="72"/>
      <c r="H56" s="72"/>
      <c r="I56" s="72"/>
      <c r="J56" s="72"/>
      <c r="K56" s="72"/>
      <c r="L56" s="72"/>
      <c r="M56" s="16"/>
      <c r="N56" s="22">
        <f>IF(E56&lt;0, "0", IF(E56 &gt; 1024, "1024",ROUND(E56,0)))</f>
        <v>50</v>
      </c>
      <c r="O56" s="22" t="str">
        <f>N58</f>
        <v>ms</v>
      </c>
      <c r="P56" s="23">
        <f>N56</f>
        <v>50</v>
      </c>
      <c r="Q56" s="2" t="s">
        <v>64</v>
      </c>
      <c r="R56" s="13">
        <f>_xlfn.BITAND(P56,255)</f>
        <v>50</v>
      </c>
      <c r="S56" s="13" t="str">
        <f>IF(R56&lt;16,CONCATENATE("0x0",(DEC2HEX(R56))),CONCATENATE("0x",(DEC2HEX(R56))))</f>
        <v>0x32</v>
      </c>
      <c r="T56" s="5" t="str">
        <f>DEC2BIN(R56,8)</f>
        <v>00110010</v>
      </c>
    </row>
    <row r="57" spans="5:20" x14ac:dyDescent="0.25">
      <c r="E57" s="57" t="s">
        <v>61</v>
      </c>
      <c r="F57" s="57"/>
      <c r="G57" s="57"/>
      <c r="H57" s="57"/>
      <c r="I57" s="57"/>
      <c r="J57" s="57"/>
      <c r="K57" s="57"/>
      <c r="L57" s="57"/>
      <c r="M57" s="1"/>
      <c r="P57" s="1"/>
      <c r="Q57" s="2"/>
      <c r="R57" s="2"/>
      <c r="S57" s="2"/>
      <c r="T57" s="1"/>
    </row>
    <row r="58" spans="5:20" x14ac:dyDescent="0.25">
      <c r="E58" s="92" t="s">
        <v>55</v>
      </c>
      <c r="F58" s="93"/>
      <c r="G58" s="93"/>
      <c r="H58" s="57" t="s">
        <v>56</v>
      </c>
      <c r="I58" s="57"/>
      <c r="J58" s="57"/>
      <c r="K58" s="86" t="s">
        <v>10</v>
      </c>
      <c r="L58" s="88"/>
      <c r="M58" s="20" t="s">
        <v>10</v>
      </c>
      <c r="N58" s="13" t="str">
        <f>IF(((K59*2 +L59) = 3),"min",IF((K59*2+L59 = 2), "s",IF((K59*2+L59=1),"ms","us")))</f>
        <v>ms</v>
      </c>
      <c r="O58" s="2"/>
      <c r="P58" s="1"/>
      <c r="Q58" s="2" t="s">
        <v>65</v>
      </c>
      <c r="R58" s="13">
        <f>(P59*4)+((_xlfn.BITAND(P56,768)/2^8))</f>
        <v>100</v>
      </c>
      <c r="S58" s="13" t="str">
        <f>IF(R58&lt;16,CONCATENATE("0x0",(DEC2HEX(R58))),CONCATENATE("0x",(DEC2HEX(R58))))</f>
        <v>0x64</v>
      </c>
      <c r="T58" s="5" t="str">
        <f>DEC2BIN(R58,8)</f>
        <v>01100100</v>
      </c>
    </row>
    <row r="59" spans="5:20" x14ac:dyDescent="0.25">
      <c r="E59" s="94"/>
      <c r="F59" s="95"/>
      <c r="G59" s="96"/>
      <c r="H59" s="12">
        <v>1</v>
      </c>
      <c r="I59" s="12">
        <v>1</v>
      </c>
      <c r="J59" s="12">
        <v>0</v>
      </c>
      <c r="K59" s="12">
        <v>0</v>
      </c>
      <c r="L59" s="12">
        <v>1</v>
      </c>
      <c r="M59" s="20" t="s">
        <v>57</v>
      </c>
      <c r="N59" s="13">
        <f>IF(AND(H59 = 0,I59=0,J59=0), 1,IF(AND(H59 = 0,I59=0,J59=1),2,IF(AND(H59 = 0,I59=1,J59=0),4,IF(AND(H59 = 0,I59=1,J59=1),6,IF(AND(H59 = 1,I59=0,J59=0),8,IF(AND(H59 = 1,I59=0,J59=1),12,IF(AND(H59 = 1,I59=1,J59=0),16,IF(AND(H59 = 1,I59=1,J59=1),24,"false"))))))))</f>
        <v>16</v>
      </c>
      <c r="O59" s="2" t="s">
        <v>58</v>
      </c>
      <c r="P59" s="5">
        <f>BIN2DEC(CONCATENATE(H59,I59,J59,K59,L59))</f>
        <v>25</v>
      </c>
      <c r="Q59" s="2"/>
      <c r="R59" s="2"/>
      <c r="S59" s="2"/>
      <c r="T59" s="1"/>
    </row>
    <row r="60" spans="5:20" x14ac:dyDescent="0.25">
      <c r="E60" s="57" t="s">
        <v>62</v>
      </c>
      <c r="F60" s="57"/>
      <c r="G60" s="57"/>
      <c r="H60" s="57"/>
      <c r="I60" s="57"/>
      <c r="J60" s="57"/>
      <c r="K60" s="57"/>
      <c r="L60" s="57"/>
      <c r="P60" s="1"/>
      <c r="Q60" s="1"/>
      <c r="R60" s="1"/>
      <c r="S60" s="1"/>
      <c r="T60" s="1"/>
    </row>
    <row r="61" spans="5:20" x14ac:dyDescent="0.25">
      <c r="E61" s="72">
        <v>1</v>
      </c>
      <c r="F61" s="72"/>
      <c r="G61" s="72"/>
      <c r="H61" s="72"/>
      <c r="I61" s="72"/>
      <c r="J61" s="72"/>
      <c r="K61" s="72"/>
      <c r="L61" s="72"/>
      <c r="M61" s="16"/>
      <c r="N61" s="22">
        <f>IF(E61&lt;0, "0", IF(E61 &gt; 1024, "1024",ROUND(E61,0)))</f>
        <v>1</v>
      </c>
      <c r="O61" s="22" t="str">
        <f>N63</f>
        <v>ms</v>
      </c>
      <c r="P61" s="23">
        <f>N61</f>
        <v>1</v>
      </c>
      <c r="Q61" s="2" t="s">
        <v>66</v>
      </c>
      <c r="R61" s="13">
        <f>_xlfn.BITAND(P61,255)</f>
        <v>1</v>
      </c>
      <c r="S61" s="13" t="str">
        <f>IF(R61&lt;16,CONCATENATE("0x0",(DEC2HEX(R61))),CONCATENATE("0x",(DEC2HEX(R61))))</f>
        <v>0x01</v>
      </c>
      <c r="T61" s="5" t="str">
        <f>DEC2BIN(R61,8)</f>
        <v>00000001</v>
      </c>
    </row>
    <row r="62" spans="5:20" x14ac:dyDescent="0.25">
      <c r="E62" s="57" t="s">
        <v>63</v>
      </c>
      <c r="F62" s="57"/>
      <c r="G62" s="57"/>
      <c r="H62" s="57"/>
      <c r="I62" s="57"/>
      <c r="J62" s="57"/>
      <c r="K62" s="57"/>
      <c r="L62" s="57"/>
      <c r="M62" s="1"/>
      <c r="P62" s="1"/>
      <c r="Q62" s="2"/>
      <c r="R62" s="2"/>
      <c r="S62" s="2"/>
      <c r="T62" s="1"/>
    </row>
    <row r="63" spans="5:20" x14ac:dyDescent="0.25">
      <c r="E63" s="92" t="s">
        <v>55</v>
      </c>
      <c r="F63" s="93"/>
      <c r="G63" s="93"/>
      <c r="H63" s="57" t="s">
        <v>56</v>
      </c>
      <c r="I63" s="57"/>
      <c r="J63" s="57"/>
      <c r="K63" s="86" t="s">
        <v>10</v>
      </c>
      <c r="L63" s="88"/>
      <c r="M63" s="20" t="s">
        <v>10</v>
      </c>
      <c r="N63" s="13" t="str">
        <f>IF(((K64*2 +L64) = 3),"min",IF((K64*2+L64 = 2), "s",IF((K64*2+L64=1),"ms","us")))</f>
        <v>ms</v>
      </c>
      <c r="O63" s="2"/>
      <c r="P63" s="1"/>
      <c r="Q63" s="2" t="s">
        <v>67</v>
      </c>
      <c r="R63" s="13">
        <f>(P64*4)+((_xlfn.BITAND(P61,768)/2^8))</f>
        <v>84</v>
      </c>
      <c r="S63" s="13" t="str">
        <f>IF(R63&lt;16,CONCATENATE("0x0",(DEC2HEX(R63))),CONCATENATE("0x",(DEC2HEX(R63))))</f>
        <v>0x54</v>
      </c>
      <c r="T63" s="5" t="str">
        <f>DEC2BIN(R63,8)</f>
        <v>01010100</v>
      </c>
    </row>
    <row r="64" spans="5:20" x14ac:dyDescent="0.25">
      <c r="E64" s="102"/>
      <c r="F64" s="103"/>
      <c r="G64" s="104"/>
      <c r="H64" s="28">
        <v>1</v>
      </c>
      <c r="I64" s="28">
        <v>0</v>
      </c>
      <c r="J64" s="28">
        <v>1</v>
      </c>
      <c r="K64" s="28">
        <v>0</v>
      </c>
      <c r="L64" s="28">
        <v>1</v>
      </c>
      <c r="M64" s="20" t="s">
        <v>57</v>
      </c>
      <c r="N64" s="13">
        <f>IF(AND(H64 = 0,I64=0,J64=0), 16,IF(AND(H64 = 0,I64=0,J64=1),24,IF(AND(H64 = 0,I64=1,J64=0),32,IF(AND(H64 = 0,I64=1,J64=1),48,IF(AND(H64 = 1,I64=0,J64=0),64,IF(AND(H64 = 1,I64=0,J64=1),96,IF(AND(H64 = 1,I64=1,J64=0),128,IF(AND(H64 = 1,I64=1,J64=1),256,"false"))))))))</f>
        <v>96</v>
      </c>
      <c r="O64" s="2" t="s">
        <v>58</v>
      </c>
      <c r="P64" s="5">
        <f>BIN2DEC(CONCATENATE(H64,I64,J64,K64,L64))</f>
        <v>21</v>
      </c>
      <c r="Q64" s="2"/>
      <c r="R64" s="2"/>
      <c r="S64" s="2"/>
      <c r="T64" s="1"/>
    </row>
    <row r="65" spans="5:20" x14ac:dyDescent="0.25">
      <c r="E65" s="57" t="s">
        <v>68</v>
      </c>
      <c r="F65" s="57"/>
      <c r="G65" s="57"/>
      <c r="H65" s="57"/>
      <c r="I65" s="57"/>
      <c r="J65" s="57"/>
      <c r="K65" s="57"/>
      <c r="L65" s="57"/>
      <c r="M65" s="1"/>
      <c r="P65" s="1"/>
      <c r="Q65" s="2"/>
      <c r="R65" s="2"/>
      <c r="S65" s="2"/>
      <c r="T65" s="1"/>
    </row>
    <row r="66" spans="5:20" x14ac:dyDescent="0.25">
      <c r="E66" s="75">
        <v>3.3</v>
      </c>
      <c r="F66" s="75"/>
      <c r="G66" s="75"/>
      <c r="H66" s="75"/>
      <c r="I66" s="75"/>
      <c r="J66" s="75"/>
      <c r="K66" s="75"/>
      <c r="L66" s="75"/>
      <c r="M66" s="101" t="s">
        <v>5</v>
      </c>
      <c r="N66" s="76">
        <f>(P66*Variables!C1/Variables!C3)*Variables!C2</f>
        <v>3.2996336996337039</v>
      </c>
      <c r="O66" s="73" t="s">
        <v>5</v>
      </c>
      <c r="P66" s="76">
        <f>(IF(E66&lt;0,0,IF(E66&gt;4.8,4095,ROUND((E66/Variables!F3),0))))</f>
        <v>2815</v>
      </c>
      <c r="Q66" s="20" t="s">
        <v>69</v>
      </c>
      <c r="R66" s="13">
        <f>_xlfn.BITAND(P66,255)</f>
        <v>255</v>
      </c>
      <c r="S66" s="13" t="str">
        <f>IF(R66&lt;16,CONCATENATE("0x0",(DEC2HEX(R66))),CONCATENATE("0x",(DEC2HEX(R66))))</f>
        <v>0xFF</v>
      </c>
      <c r="T66" s="5" t="str">
        <f>DEC2BIN(R66,8)</f>
        <v>11111111</v>
      </c>
    </row>
    <row r="67" spans="5:20" x14ac:dyDescent="0.25">
      <c r="E67" s="75"/>
      <c r="F67" s="75"/>
      <c r="G67" s="75"/>
      <c r="H67" s="75"/>
      <c r="I67" s="75"/>
      <c r="J67" s="75"/>
      <c r="K67" s="75"/>
      <c r="L67" s="75"/>
      <c r="M67" s="101"/>
      <c r="N67" s="76"/>
      <c r="O67" s="73"/>
      <c r="P67" s="76"/>
      <c r="Q67" s="2"/>
      <c r="R67" s="2"/>
      <c r="S67" s="2"/>
      <c r="T67" s="1"/>
    </row>
    <row r="68" spans="5:20" x14ac:dyDescent="0.25">
      <c r="E68" s="75"/>
      <c r="F68" s="75"/>
      <c r="G68" s="75"/>
      <c r="H68" s="75"/>
      <c r="I68" s="75"/>
      <c r="J68" s="75"/>
      <c r="K68" s="75"/>
      <c r="L68" s="75"/>
      <c r="M68" s="101"/>
      <c r="N68" s="76"/>
      <c r="O68" s="73"/>
      <c r="P68" s="76"/>
      <c r="Q68" s="2" t="s">
        <v>70</v>
      </c>
      <c r="R68" s="13">
        <f>((_xlfn.BITAND(P66,3840))/(2^8))</f>
        <v>10</v>
      </c>
      <c r="S68" s="13" t="str">
        <f>IF(R68&lt;16,CONCATENATE("0x0",(DEC2HEX(R68))),CONCATENATE("0x",(DEC2HEX(R68))))</f>
        <v>0x0A</v>
      </c>
      <c r="T68" s="5" t="str">
        <f>DEC2BIN(R68,8)</f>
        <v>00001010</v>
      </c>
    </row>
    <row r="69" spans="5:20" x14ac:dyDescent="0.25">
      <c r="E69" s="57" t="s">
        <v>71</v>
      </c>
      <c r="F69" s="57"/>
      <c r="G69" s="57"/>
      <c r="H69" s="57"/>
      <c r="I69" s="57"/>
      <c r="J69" s="57"/>
      <c r="K69" s="57"/>
      <c r="L69" s="57"/>
      <c r="M69" s="1"/>
      <c r="P69" s="1"/>
      <c r="Q69" s="2"/>
      <c r="R69" s="2"/>
      <c r="S69" s="2"/>
      <c r="T69" s="1"/>
    </row>
    <row r="70" spans="5:20" x14ac:dyDescent="0.25">
      <c r="E70" s="75">
        <v>4.1500000000000004</v>
      </c>
      <c r="F70" s="75"/>
      <c r="G70" s="75"/>
      <c r="H70" s="75"/>
      <c r="I70" s="75"/>
      <c r="J70" s="75"/>
      <c r="K70" s="75"/>
      <c r="L70" s="75"/>
      <c r="M70" s="101" t="s">
        <v>5</v>
      </c>
      <c r="N70" s="76">
        <f>(P70*Variables!C1/Variables!C3)*Variables!C2</f>
        <v>4.1494505494505551</v>
      </c>
      <c r="O70" s="73" t="s">
        <v>5</v>
      </c>
      <c r="P70" s="76">
        <f>(IF(E70&lt;0,0,IF(E70&gt;4.8,4095,ROUND((E70/Variables!F3),0))))</f>
        <v>3540</v>
      </c>
      <c r="Q70" s="20" t="s">
        <v>72</v>
      </c>
      <c r="R70" s="13">
        <f>_xlfn.BITAND(P70,255)</f>
        <v>212</v>
      </c>
      <c r="S70" s="13" t="str">
        <f>IF(R70&lt;16,CONCATENATE("0x0",(DEC2HEX(R70))),CONCATENATE("0x",(DEC2HEX(R70))))</f>
        <v>0xD4</v>
      </c>
      <c r="T70" s="5" t="str">
        <f>DEC2BIN(R70,8)</f>
        <v>11010100</v>
      </c>
    </row>
    <row r="71" spans="5:20" x14ac:dyDescent="0.25">
      <c r="E71" s="75"/>
      <c r="F71" s="75"/>
      <c r="G71" s="75"/>
      <c r="H71" s="75"/>
      <c r="I71" s="75"/>
      <c r="J71" s="75"/>
      <c r="K71" s="75"/>
      <c r="L71" s="75"/>
      <c r="M71" s="101"/>
      <c r="N71" s="76"/>
      <c r="O71" s="73"/>
      <c r="P71" s="76"/>
      <c r="Q71" s="2"/>
      <c r="R71" s="2"/>
      <c r="S71" s="2"/>
      <c r="T71" s="1"/>
    </row>
    <row r="72" spans="5:20" x14ac:dyDescent="0.25">
      <c r="E72" s="75"/>
      <c r="F72" s="75"/>
      <c r="G72" s="75"/>
      <c r="H72" s="75"/>
      <c r="I72" s="75"/>
      <c r="J72" s="75"/>
      <c r="K72" s="75"/>
      <c r="L72" s="75"/>
      <c r="M72" s="101"/>
      <c r="N72" s="76"/>
      <c r="O72" s="73"/>
      <c r="P72" s="76"/>
      <c r="Q72" s="2" t="s">
        <v>73</v>
      </c>
      <c r="R72" s="13">
        <f>((_xlfn.BITAND(P70,3840))/(2^8))</f>
        <v>13</v>
      </c>
      <c r="S72" s="13" t="str">
        <f>IF(R72&lt;16,CONCATENATE("0x0",(DEC2HEX(R72))),CONCATENATE("0x",(DEC2HEX(R72))))</f>
        <v>0x0D</v>
      </c>
      <c r="T72" s="5" t="str">
        <f>DEC2BIN(R72,8)</f>
        <v>00001101</v>
      </c>
    </row>
    <row r="73" spans="5:20" x14ac:dyDescent="0.25">
      <c r="E73" s="57" t="s">
        <v>74</v>
      </c>
      <c r="F73" s="57"/>
      <c r="G73" s="57"/>
      <c r="H73" s="57"/>
      <c r="I73" s="57"/>
      <c r="J73" s="57"/>
      <c r="K73" s="57"/>
      <c r="L73" s="57"/>
      <c r="M73" s="1"/>
      <c r="P73" s="1"/>
      <c r="Q73" s="2"/>
      <c r="R73" s="2"/>
      <c r="S73" s="2"/>
      <c r="T73" s="1"/>
    </row>
    <row r="74" spans="5:20" x14ac:dyDescent="0.25">
      <c r="E74" s="75">
        <v>0.02</v>
      </c>
      <c r="F74" s="75"/>
      <c r="G74" s="75"/>
      <c r="H74" s="75"/>
      <c r="I74" s="75"/>
      <c r="J74" s="75"/>
      <c r="K74" s="75"/>
      <c r="L74" s="75"/>
      <c r="M74" s="101" t="s">
        <v>5</v>
      </c>
      <c r="N74" s="76">
        <f>(P74*Variables!C1/Variables!C3)*Variables!C2</f>
        <v>1.9926739926739951E-2</v>
      </c>
      <c r="O74" s="73" t="s">
        <v>5</v>
      </c>
      <c r="P74" s="76">
        <f>(IF(E74&lt;0,0,IF(E74&gt;4.8,4095,ROUND((E74/Variables!F3),0))))</f>
        <v>17</v>
      </c>
      <c r="Q74" s="20" t="s">
        <v>75</v>
      </c>
      <c r="R74" s="13">
        <f>_xlfn.BITAND(P74,255)</f>
        <v>17</v>
      </c>
      <c r="S74" s="13" t="str">
        <f>IF(R74&lt;16,CONCATENATE("0x0",(DEC2HEX(R74))),CONCATENATE("0x",(DEC2HEX(R74))))</f>
        <v>0x11</v>
      </c>
      <c r="T74" s="5" t="str">
        <f>DEC2BIN(R74,8)</f>
        <v>00010001</v>
      </c>
    </row>
    <row r="75" spans="5:20" x14ac:dyDescent="0.25">
      <c r="E75" s="75"/>
      <c r="F75" s="75"/>
      <c r="G75" s="75"/>
      <c r="H75" s="75"/>
      <c r="I75" s="75"/>
      <c r="J75" s="75"/>
      <c r="K75" s="75"/>
      <c r="L75" s="75"/>
      <c r="M75" s="101"/>
      <c r="N75" s="76"/>
      <c r="O75" s="73"/>
      <c r="P75" s="76"/>
      <c r="Q75" s="2"/>
      <c r="R75" s="2"/>
      <c r="S75" s="2"/>
      <c r="T75" s="1"/>
    </row>
    <row r="76" spans="5:20" x14ac:dyDescent="0.25">
      <c r="E76" s="75"/>
      <c r="F76" s="75"/>
      <c r="G76" s="75"/>
      <c r="H76" s="75"/>
      <c r="I76" s="75"/>
      <c r="J76" s="75"/>
      <c r="K76" s="75"/>
      <c r="L76" s="75"/>
      <c r="M76" s="101"/>
      <c r="N76" s="76"/>
      <c r="O76" s="73"/>
      <c r="P76" s="76"/>
      <c r="Q76" s="2" t="s">
        <v>76</v>
      </c>
      <c r="R76" s="13">
        <f>((_xlfn.BITAND(P74,3840))/(2^8))</f>
        <v>0</v>
      </c>
      <c r="S76" s="13" t="str">
        <f>IF(R76&lt;16,CONCATENATE("0x0",(DEC2HEX(R76))),CONCATENATE("0x",(DEC2HEX(R76))))</f>
        <v>0x00</v>
      </c>
      <c r="T76" s="5" t="str">
        <f>DEC2BIN(R76,8)</f>
        <v>00000000</v>
      </c>
    </row>
    <row r="77" spans="5:20" x14ac:dyDescent="0.25">
      <c r="E77" s="57" t="s">
        <v>77</v>
      </c>
      <c r="F77" s="57"/>
      <c r="G77" s="57"/>
      <c r="H77" s="57"/>
      <c r="I77" s="57"/>
      <c r="J77" s="57"/>
      <c r="K77" s="57"/>
      <c r="L77" s="57"/>
      <c r="M77" s="1"/>
      <c r="P77" s="1"/>
      <c r="Q77" s="2"/>
      <c r="R77" s="2"/>
      <c r="S77" s="2"/>
      <c r="T77" s="1"/>
    </row>
    <row r="78" spans="5:20" x14ac:dyDescent="0.25">
      <c r="E78" s="75">
        <v>0.5</v>
      </c>
      <c r="F78" s="75"/>
      <c r="G78" s="75"/>
      <c r="H78" s="75"/>
      <c r="I78" s="75"/>
      <c r="J78" s="75"/>
      <c r="K78" s="75"/>
      <c r="L78" s="75"/>
      <c r="M78" s="101" t="s">
        <v>5</v>
      </c>
      <c r="N78" s="76">
        <f>(P78*Variables!C1/Variables!C3)*Variables!C2</f>
        <v>0.50051282051282109</v>
      </c>
      <c r="O78" s="73" t="s">
        <v>5</v>
      </c>
      <c r="P78" s="76">
        <f>(IF(E78&lt;0,0,IF(E78&gt;4.8,4095,ROUND((E78/Variables!F3),0))))</f>
        <v>427</v>
      </c>
      <c r="Q78" s="20" t="s">
        <v>78</v>
      </c>
      <c r="R78" s="13">
        <f>_xlfn.BITAND(P78,255)</f>
        <v>171</v>
      </c>
      <c r="S78" s="13" t="str">
        <f>IF(R78&lt;16,CONCATENATE("0x0",(DEC2HEX(R78))),CONCATENATE("0x",(DEC2HEX(R78))))</f>
        <v>0xAB</v>
      </c>
      <c r="T78" s="5" t="str">
        <f>DEC2BIN(R78,8)</f>
        <v>10101011</v>
      </c>
    </row>
    <row r="79" spans="5:20" x14ac:dyDescent="0.25">
      <c r="E79" s="75"/>
      <c r="F79" s="75"/>
      <c r="G79" s="75"/>
      <c r="H79" s="75"/>
      <c r="I79" s="75"/>
      <c r="J79" s="75"/>
      <c r="K79" s="75"/>
      <c r="L79" s="75"/>
      <c r="M79" s="101"/>
      <c r="N79" s="76"/>
      <c r="O79" s="73"/>
      <c r="P79" s="76"/>
      <c r="Q79" s="2"/>
      <c r="R79" s="2"/>
      <c r="S79" s="2"/>
      <c r="T79" s="1"/>
    </row>
    <row r="80" spans="5:20" x14ac:dyDescent="0.25">
      <c r="E80" s="75"/>
      <c r="F80" s="75"/>
      <c r="G80" s="75"/>
      <c r="H80" s="75"/>
      <c r="I80" s="75"/>
      <c r="J80" s="75"/>
      <c r="K80" s="75"/>
      <c r="L80" s="75"/>
      <c r="M80" s="101"/>
      <c r="N80" s="76"/>
      <c r="O80" s="73"/>
      <c r="P80" s="76"/>
      <c r="Q80" s="2" t="s">
        <v>79</v>
      </c>
      <c r="R80" s="13">
        <f>((_xlfn.BITAND(P78,3840))/(2^8))</f>
        <v>1</v>
      </c>
      <c r="S80" s="13" t="str">
        <f>IF(R80&lt;16,CONCATENATE("0x0",(DEC2HEX(R80))),CONCATENATE("0x",(DEC2HEX(R80))))</f>
        <v>0x01</v>
      </c>
      <c r="T80" s="5" t="str">
        <f>DEC2BIN(R80,8)</f>
        <v>00000001</v>
      </c>
    </row>
    <row r="81" spans="4:20" x14ac:dyDescent="0.25">
      <c r="E81" s="57" t="s">
        <v>80</v>
      </c>
      <c r="F81" s="57"/>
      <c r="G81" s="57"/>
      <c r="H81" s="57"/>
      <c r="I81" s="57"/>
      <c r="J81" s="57"/>
      <c r="K81" s="57"/>
      <c r="L81" s="57"/>
      <c r="M81" s="11"/>
      <c r="P81" s="11"/>
      <c r="Q81" s="24"/>
      <c r="R81" s="2"/>
      <c r="S81" s="2"/>
      <c r="T81" s="1"/>
    </row>
    <row r="82" spans="4:20" x14ac:dyDescent="0.25">
      <c r="E82" s="72">
        <v>2</v>
      </c>
      <c r="F82" s="72"/>
      <c r="G82" s="72"/>
      <c r="H82" s="72"/>
      <c r="I82" s="72"/>
      <c r="J82" s="72"/>
      <c r="K82" s="72"/>
      <c r="L82" s="72"/>
      <c r="M82" s="16"/>
      <c r="N82" s="22">
        <f>IF(E82&lt;0, "0", IF(E82 &gt; 1024, "1024",ROUND(E82,0)))</f>
        <v>2</v>
      </c>
      <c r="O82" s="22" t="str">
        <f>N85</f>
        <v>s</v>
      </c>
      <c r="P82" s="22">
        <f>N82</f>
        <v>2</v>
      </c>
      <c r="Q82" s="2"/>
      <c r="R82" s="2"/>
      <c r="S82" s="2"/>
      <c r="T82" s="1"/>
    </row>
    <row r="83" spans="4:20" x14ac:dyDescent="0.25">
      <c r="E83" s="86" t="s">
        <v>85</v>
      </c>
      <c r="F83" s="87"/>
      <c r="G83" s="87"/>
      <c r="H83" s="87"/>
      <c r="I83" s="87"/>
      <c r="J83" s="87"/>
      <c r="K83" s="87"/>
      <c r="L83" s="88"/>
      <c r="M83" s="11"/>
      <c r="P83" s="11"/>
      <c r="Q83" s="2" t="s">
        <v>83</v>
      </c>
      <c r="R83" s="13">
        <f>_xlfn.BITAND(P82,255)</f>
        <v>2</v>
      </c>
      <c r="S83" s="13" t="str">
        <f>IF(R83&lt;16,CONCATENATE("0x0",(DEC2HEX(R83))),CONCATENATE("0x",(DEC2HEX(R83))))</f>
        <v>0x02</v>
      </c>
      <c r="T83" s="5" t="str">
        <f>DEC2BIN(R83,8)</f>
        <v>00000010</v>
      </c>
    </row>
    <row r="84" spans="4:20" x14ac:dyDescent="0.25">
      <c r="E84" s="86" t="s">
        <v>81</v>
      </c>
      <c r="F84" s="87"/>
      <c r="G84" s="87"/>
      <c r="H84" s="88"/>
      <c r="I84" s="86" t="s">
        <v>181</v>
      </c>
      <c r="J84" s="87"/>
      <c r="K84" s="87"/>
      <c r="L84" s="88"/>
      <c r="M84" s="11"/>
      <c r="P84" s="11"/>
      <c r="Q84" s="2"/>
      <c r="R84" s="2"/>
      <c r="S84" s="2"/>
      <c r="T84" s="1"/>
    </row>
    <row r="85" spans="4:20" x14ac:dyDescent="0.25">
      <c r="E85" s="75">
        <v>1</v>
      </c>
      <c r="F85" s="75"/>
      <c r="G85" s="75"/>
      <c r="H85" s="75"/>
      <c r="I85" s="75">
        <v>0</v>
      </c>
      <c r="J85" s="75"/>
      <c r="K85" s="75"/>
      <c r="L85" s="75"/>
      <c r="M85" s="16"/>
      <c r="N85" s="22" t="str">
        <f>IF(((E85*2 +I85) = 3),"min",IF((E85*2+I85 = 2), "s",IF((E85*2+I85=1),"ms","us")))</f>
        <v>s</v>
      </c>
      <c r="O85" s="16"/>
      <c r="P85" s="22">
        <f>IF(N85="min",3,IF(N85="s",2,IF(N85="ms",1,0)))</f>
        <v>2</v>
      </c>
      <c r="Q85" s="16" t="s">
        <v>84</v>
      </c>
      <c r="R85" s="22">
        <f>(P85*4)+((_xlfn.BITAND(P82,768)/2^8))</f>
        <v>8</v>
      </c>
      <c r="S85" s="22" t="str">
        <f>IF(R85&lt;16,CONCATENATE("0x0",(DEC2HEX(R85))),CONCATENATE("0x",(DEC2HEX(R85))))</f>
        <v>0x08</v>
      </c>
      <c r="T85" s="5" t="str">
        <f>DEC2BIN(R85,8)</f>
        <v>00001000</v>
      </c>
    </row>
    <row r="86" spans="4:20" x14ac:dyDescent="0.25">
      <c r="E86" s="57" t="s">
        <v>86</v>
      </c>
      <c r="F86" s="57"/>
      <c r="G86" s="57"/>
      <c r="H86" s="57"/>
      <c r="I86" s="57"/>
      <c r="J86" s="57"/>
      <c r="K86" s="57"/>
      <c r="L86" s="57"/>
      <c r="M86" s="11"/>
      <c r="P86" s="11"/>
      <c r="Q86" s="24"/>
      <c r="R86" s="2"/>
      <c r="S86" s="2"/>
      <c r="T86" s="1"/>
    </row>
    <row r="87" spans="4:20" x14ac:dyDescent="0.25">
      <c r="E87" s="72">
        <v>2</v>
      </c>
      <c r="F87" s="72"/>
      <c r="G87" s="72"/>
      <c r="H87" s="72"/>
      <c r="I87" s="72"/>
      <c r="J87" s="72"/>
      <c r="K87" s="72"/>
      <c r="L87" s="72"/>
      <c r="M87" s="16"/>
      <c r="N87" s="22">
        <f>IF(E87&lt;0, "0", IF(E87 &gt; 1024, "1024",ROUND(E87,0)))</f>
        <v>2</v>
      </c>
      <c r="O87" s="16"/>
      <c r="P87" s="22">
        <f>N87</f>
        <v>2</v>
      </c>
      <c r="Q87" s="2"/>
      <c r="R87" s="2"/>
      <c r="S87" s="2"/>
      <c r="T87" s="1"/>
    </row>
    <row r="88" spans="4:20" x14ac:dyDescent="0.25">
      <c r="E88" s="86" t="s">
        <v>87</v>
      </c>
      <c r="F88" s="87"/>
      <c r="G88" s="87"/>
      <c r="H88" s="87"/>
      <c r="I88" s="87"/>
      <c r="J88" s="87"/>
      <c r="K88" s="87"/>
      <c r="L88" s="88"/>
      <c r="M88" s="11"/>
      <c r="P88" s="11"/>
      <c r="Q88" s="2" t="s">
        <v>90</v>
      </c>
      <c r="R88" s="13">
        <f>_xlfn.BITAND(P87,255)</f>
        <v>2</v>
      </c>
      <c r="S88" s="13" t="str">
        <f>IF(R88&lt;16,CONCATENATE("0x0",(DEC2HEX(R88))),CONCATENATE("0x",(DEC2HEX(R88))))</f>
        <v>0x02</v>
      </c>
      <c r="T88" s="5" t="str">
        <f>DEC2BIN(R88,8)</f>
        <v>00000010</v>
      </c>
    </row>
    <row r="89" spans="4:20" x14ac:dyDescent="0.25">
      <c r="E89" s="86" t="s">
        <v>183</v>
      </c>
      <c r="F89" s="87"/>
      <c r="G89" s="87"/>
      <c r="H89" s="88"/>
      <c r="I89" s="86" t="s">
        <v>182</v>
      </c>
      <c r="J89" s="87"/>
      <c r="K89" s="87"/>
      <c r="L89" s="88"/>
      <c r="M89" s="11"/>
      <c r="P89" s="11"/>
      <c r="Q89" s="2"/>
      <c r="R89" s="2"/>
      <c r="S89" s="2"/>
      <c r="T89" s="1"/>
    </row>
    <row r="90" spans="4:20" x14ac:dyDescent="0.25">
      <c r="E90" s="75">
        <v>1</v>
      </c>
      <c r="F90" s="75"/>
      <c r="G90" s="75"/>
      <c r="H90" s="75"/>
      <c r="I90" s="75">
        <v>0</v>
      </c>
      <c r="J90" s="75"/>
      <c r="K90" s="75"/>
      <c r="L90" s="75"/>
      <c r="M90" s="16"/>
      <c r="N90" s="22" t="str">
        <f>IF(((E90*2 +I90) = 3),"min",IF((E90*2+I90 = 2), "s",IF((E90*2+I90=1),"ms","us")))</f>
        <v>s</v>
      </c>
      <c r="O90" s="16"/>
      <c r="P90" s="22">
        <f>IF(N90="min",3,IF(N90="s",2,IF(N90="ms",1,0)))</f>
        <v>2</v>
      </c>
      <c r="Q90" s="16" t="s">
        <v>91</v>
      </c>
      <c r="R90" s="22">
        <f>(P90*4)+((_xlfn.BITAND(P87,768)/2^8))</f>
        <v>8</v>
      </c>
      <c r="S90" s="22" t="str">
        <f>IF(R90&lt;16,CONCATENATE("0x0",(DEC2HEX(R90))),CONCATENATE("0x",(DEC2HEX(R90))))</f>
        <v>0x08</v>
      </c>
      <c r="T90" s="5" t="str">
        <f>DEC2BIN(R90,8)</f>
        <v>00001000</v>
      </c>
    </row>
    <row r="91" spans="4:20" x14ac:dyDescent="0.25">
      <c r="E91" s="73" t="s">
        <v>89</v>
      </c>
      <c r="F91" s="73"/>
      <c r="G91" s="73"/>
      <c r="H91" s="73"/>
      <c r="I91" s="73"/>
      <c r="J91" s="73"/>
      <c r="K91" s="73"/>
      <c r="L91" s="73"/>
      <c r="M91" s="1"/>
      <c r="P91" s="1"/>
      <c r="Q91" s="2"/>
      <c r="R91" s="2"/>
      <c r="S91" s="2"/>
      <c r="T91" s="1"/>
    </row>
    <row r="92" spans="4:20" x14ac:dyDescent="0.25">
      <c r="E92" s="75">
        <f>0.6453*2</f>
        <v>1.2906</v>
      </c>
      <c r="F92" s="75"/>
      <c r="G92" s="75"/>
      <c r="H92" s="75"/>
      <c r="I92" s="75"/>
      <c r="J92" s="75"/>
      <c r="K92" s="75"/>
      <c r="L92" s="75"/>
      <c r="M92" s="101" t="s">
        <v>5</v>
      </c>
      <c r="N92" s="76">
        <f>(P92*Variables!C1/Variables!C3)</f>
        <v>1.2905494505494506</v>
      </c>
      <c r="O92" s="101" t="s">
        <v>5</v>
      </c>
      <c r="P92" s="76">
        <f>(IF(E92&lt;0,0,IF(E92&gt;1.8,4095,ROUND(((E92*4095)/1.8),0))))</f>
        <v>2936</v>
      </c>
      <c r="Q92" s="2" t="s">
        <v>92</v>
      </c>
      <c r="R92" s="13">
        <f>_xlfn.BITAND(P92,255)</f>
        <v>120</v>
      </c>
      <c r="S92" s="13" t="str">
        <f>IF(R92&lt;16,CONCATENATE("0x0",(DEC2HEX(R92))),CONCATENATE("0x",(DEC2HEX(R92))))</f>
        <v>0x78</v>
      </c>
      <c r="T92" s="5" t="str">
        <f>DEC2BIN(R92,8)</f>
        <v>01111000</v>
      </c>
    </row>
    <row r="93" spans="4:20" x14ac:dyDescent="0.25">
      <c r="D93" t="s">
        <v>202</v>
      </c>
      <c r="E93" s="75"/>
      <c r="F93" s="75"/>
      <c r="G93" s="75"/>
      <c r="H93" s="75"/>
      <c r="I93" s="75"/>
      <c r="J93" s="75"/>
      <c r="K93" s="75"/>
      <c r="L93" s="75"/>
      <c r="M93" s="101"/>
      <c r="N93" s="76"/>
      <c r="O93" s="101"/>
      <c r="P93" s="76"/>
      <c r="Q93" s="2"/>
      <c r="R93" s="2"/>
      <c r="S93" s="2"/>
      <c r="T93" s="2"/>
    </row>
    <row r="94" spans="4:20" x14ac:dyDescent="0.25">
      <c r="E94" s="75"/>
      <c r="F94" s="75"/>
      <c r="G94" s="75"/>
      <c r="H94" s="75"/>
      <c r="I94" s="75"/>
      <c r="J94" s="75"/>
      <c r="K94" s="75"/>
      <c r="L94" s="75"/>
      <c r="M94" s="101"/>
      <c r="N94" s="76"/>
      <c r="O94" s="101"/>
      <c r="P94" s="76"/>
      <c r="Q94" s="2" t="s">
        <v>93</v>
      </c>
      <c r="R94" s="13">
        <f>((_xlfn.BITAND(P92,3840))/(2^8))</f>
        <v>11</v>
      </c>
      <c r="S94" s="13" t="str">
        <f>IF(R94&lt;16,CONCATENATE("0x0",(DEC2HEX(R94))),CONCATENATE("0x",(DEC2HEX(R94))))</f>
        <v>0x0B</v>
      </c>
      <c r="T94" s="5" t="str">
        <f>DEC2BIN(R94,8)</f>
        <v>00001011</v>
      </c>
    </row>
    <row r="95" spans="4:20" x14ac:dyDescent="0.25">
      <c r="E95" s="73" t="s">
        <v>94</v>
      </c>
      <c r="F95" s="73"/>
      <c r="G95" s="73"/>
      <c r="H95" s="73"/>
      <c r="I95" s="73"/>
      <c r="J95" s="73"/>
      <c r="K95" s="73"/>
      <c r="L95" s="73"/>
      <c r="M95" s="1"/>
      <c r="P95" s="1"/>
      <c r="Q95" s="2"/>
      <c r="R95" s="2"/>
      <c r="S95" s="2"/>
      <c r="T95" s="1"/>
    </row>
    <row r="96" spans="4:20" x14ac:dyDescent="0.25">
      <c r="E96" s="75">
        <f>0.6275*2</f>
        <v>1.2549999999999999</v>
      </c>
      <c r="F96" s="75"/>
      <c r="G96" s="75"/>
      <c r="H96" s="75"/>
      <c r="I96" s="75"/>
      <c r="J96" s="75"/>
      <c r="K96" s="75"/>
      <c r="L96" s="75"/>
      <c r="M96" s="101" t="s">
        <v>5</v>
      </c>
      <c r="N96" s="76">
        <f>(P96*Variables!C1/Variables!C3)</f>
        <v>1.2549450549450549</v>
      </c>
      <c r="O96" s="101" t="s">
        <v>5</v>
      </c>
      <c r="P96" s="76">
        <f>(IF(E96&lt;0,0,IF(E96&gt;1.8,4095,ROUND(((E96*4095)/1.8),0))))</f>
        <v>2855</v>
      </c>
      <c r="Q96" s="2" t="s">
        <v>95</v>
      </c>
      <c r="R96" s="13">
        <f>_xlfn.BITAND(P96,255)</f>
        <v>39</v>
      </c>
      <c r="S96" s="13" t="str">
        <f>IF(R96&lt;16,CONCATENATE("0x0",(DEC2HEX(R96))),CONCATENATE("0x",(DEC2HEX(R96))))</f>
        <v>0x27</v>
      </c>
      <c r="T96" s="5" t="str">
        <f>DEC2BIN(R96,8)</f>
        <v>00100111</v>
      </c>
    </row>
    <row r="97" spans="4:20" x14ac:dyDescent="0.25">
      <c r="D97" t="s">
        <v>203</v>
      </c>
      <c r="E97" s="75"/>
      <c r="F97" s="75"/>
      <c r="G97" s="75"/>
      <c r="H97" s="75"/>
      <c r="I97" s="75"/>
      <c r="J97" s="75"/>
      <c r="K97" s="75"/>
      <c r="L97" s="75"/>
      <c r="M97" s="101"/>
      <c r="N97" s="76"/>
      <c r="O97" s="101"/>
      <c r="P97" s="76"/>
      <c r="Q97" s="2"/>
      <c r="R97" s="1"/>
      <c r="S97" s="1"/>
      <c r="T97" s="1"/>
    </row>
    <row r="98" spans="4:20" x14ac:dyDescent="0.25">
      <c r="E98" s="75"/>
      <c r="F98" s="75"/>
      <c r="G98" s="75"/>
      <c r="H98" s="75"/>
      <c r="I98" s="75"/>
      <c r="J98" s="75"/>
      <c r="K98" s="75"/>
      <c r="L98" s="75"/>
      <c r="M98" s="101"/>
      <c r="N98" s="76"/>
      <c r="O98" s="101"/>
      <c r="P98" s="76"/>
      <c r="Q98" s="2" t="s">
        <v>96</v>
      </c>
      <c r="R98" s="13">
        <f>((_xlfn.BITAND(P96,3840))/(2^8))</f>
        <v>11</v>
      </c>
      <c r="S98" s="13" t="str">
        <f>IF(R98&lt;16,CONCATENATE("0x0",(DEC2HEX(R98))),CONCATENATE("0x",(DEC2HEX(R98))))</f>
        <v>0x0B</v>
      </c>
      <c r="T98" s="5" t="str">
        <f>DEC2BIN(R98,8)</f>
        <v>00001011</v>
      </c>
    </row>
    <row r="99" spans="4:20" x14ac:dyDescent="0.25">
      <c r="E99" s="73" t="s">
        <v>100</v>
      </c>
      <c r="F99" s="73"/>
      <c r="G99" s="73"/>
      <c r="H99" s="73"/>
      <c r="I99" s="73"/>
      <c r="J99" s="73"/>
      <c r="K99" s="73"/>
      <c r="L99" s="73"/>
      <c r="M99" s="1"/>
      <c r="P99" s="1"/>
      <c r="Q99" s="2"/>
      <c r="R99" s="2"/>
      <c r="S99" s="2"/>
      <c r="T99" s="1"/>
    </row>
    <row r="100" spans="4:20" x14ac:dyDescent="0.25">
      <c r="E100" s="75">
        <f>0.3409*2</f>
        <v>0.68179999999999996</v>
      </c>
      <c r="F100" s="75"/>
      <c r="G100" s="75"/>
      <c r="H100" s="75"/>
      <c r="I100" s="75"/>
      <c r="J100" s="75"/>
      <c r="K100" s="75"/>
      <c r="L100" s="75"/>
      <c r="M100" s="101" t="s">
        <v>5</v>
      </c>
      <c r="N100" s="76">
        <f>(P100*Variables!C1/Variables!C3)</f>
        <v>0.68175824175824185</v>
      </c>
      <c r="O100" s="101" t="s">
        <v>5</v>
      </c>
      <c r="P100" s="76">
        <f>(IF(E100&lt;0,0,IF(E100&gt;1.8,4095,ROUND(((E100*4095)/1.8),0))))</f>
        <v>1551</v>
      </c>
      <c r="Q100" s="2" t="s">
        <v>97</v>
      </c>
      <c r="R100" s="13">
        <f>_xlfn.BITAND(P100,255)</f>
        <v>15</v>
      </c>
      <c r="S100" s="13" t="str">
        <f>IF(R100&lt;16,CONCATENATE("0x0",(DEC2HEX(R100))),CONCATENATE("0x",(DEC2HEX(R100))))</f>
        <v>0x0F</v>
      </c>
      <c r="T100" s="5" t="str">
        <f>DEC2BIN(R100,8)</f>
        <v>00001111</v>
      </c>
    </row>
    <row r="101" spans="4:20" x14ac:dyDescent="0.25">
      <c r="D101" t="s">
        <v>204</v>
      </c>
      <c r="E101" s="75"/>
      <c r="F101" s="75"/>
      <c r="G101" s="75"/>
      <c r="H101" s="75"/>
      <c r="I101" s="75"/>
      <c r="J101" s="75"/>
      <c r="K101" s="75"/>
      <c r="L101" s="75"/>
      <c r="M101" s="101"/>
      <c r="N101" s="76"/>
      <c r="O101" s="101"/>
      <c r="P101" s="76"/>
      <c r="Q101" s="2"/>
      <c r="R101" s="1"/>
      <c r="S101" s="1"/>
      <c r="T101" s="1"/>
    </row>
    <row r="102" spans="4:20" x14ac:dyDescent="0.25">
      <c r="E102" s="75"/>
      <c r="F102" s="75"/>
      <c r="G102" s="75"/>
      <c r="H102" s="75"/>
      <c r="I102" s="75"/>
      <c r="J102" s="75"/>
      <c r="K102" s="75"/>
      <c r="L102" s="75"/>
      <c r="M102" s="101"/>
      <c r="N102" s="76"/>
      <c r="O102" s="101"/>
      <c r="P102" s="76"/>
      <c r="Q102" s="2" t="s">
        <v>98</v>
      </c>
      <c r="R102" s="13">
        <f>((_xlfn.BITAND(P100,3840))/(2^8))</f>
        <v>6</v>
      </c>
      <c r="S102" s="13" t="str">
        <f>IF(R102&lt;16,CONCATENATE("0x0",(DEC2HEX(R102))),CONCATENATE("0x",(DEC2HEX(R102))))</f>
        <v>0x06</v>
      </c>
      <c r="T102" s="5" t="str">
        <f>DEC2BIN(R102,8)</f>
        <v>00000110</v>
      </c>
    </row>
    <row r="103" spans="4:20" x14ac:dyDescent="0.25">
      <c r="E103" s="73" t="s">
        <v>101</v>
      </c>
      <c r="F103" s="73"/>
      <c r="G103" s="73"/>
      <c r="H103" s="73"/>
      <c r="I103" s="73"/>
      <c r="J103" s="73"/>
      <c r="K103" s="73"/>
      <c r="L103" s="73"/>
      <c r="M103" s="1"/>
      <c r="P103" s="9"/>
      <c r="Q103" s="19"/>
      <c r="R103" s="19"/>
      <c r="S103" s="2"/>
      <c r="T103" s="1"/>
    </row>
    <row r="104" spans="4:20" x14ac:dyDescent="0.25">
      <c r="E104" s="75">
        <f>0.380481924339651*2</f>
        <v>0.760963848679302</v>
      </c>
      <c r="F104" s="75"/>
      <c r="G104" s="75"/>
      <c r="H104" s="75"/>
      <c r="I104" s="75"/>
      <c r="J104" s="75"/>
      <c r="K104" s="75"/>
      <c r="L104" s="75"/>
      <c r="M104" s="101" t="s">
        <v>5</v>
      </c>
      <c r="N104" s="76">
        <f>(P104*Variables!C1/Variables!C3)</f>
        <v>0.76087912087912091</v>
      </c>
      <c r="O104" s="105" t="s">
        <v>5</v>
      </c>
      <c r="P104" s="76">
        <f>(IF(E104&lt;0,0,IF(E104&gt;1.8,4095,ROUND(((E104*4095)/1.8),0))))</f>
        <v>1731</v>
      </c>
      <c r="Q104" s="2" t="s">
        <v>99</v>
      </c>
      <c r="R104" s="13">
        <f>_xlfn.BITAND(P104,255)</f>
        <v>195</v>
      </c>
      <c r="S104" s="27" t="str">
        <f>IF(R104&lt;16,CONCATENATE("0x0",(DEC2HEX(R104))),CONCATENATE("0x",(DEC2HEX(R104))))</f>
        <v>0xC3</v>
      </c>
      <c r="T104" s="5" t="str">
        <f>DEC2BIN(R104,8)</f>
        <v>11000011</v>
      </c>
    </row>
    <row r="105" spans="4:20" x14ac:dyDescent="0.25">
      <c r="D105" t="s">
        <v>205</v>
      </c>
      <c r="E105" s="75"/>
      <c r="F105" s="75"/>
      <c r="G105" s="75"/>
      <c r="H105" s="75"/>
      <c r="I105" s="75"/>
      <c r="J105" s="75"/>
      <c r="K105" s="75"/>
      <c r="L105" s="75"/>
      <c r="M105" s="101"/>
      <c r="N105" s="76"/>
      <c r="O105" s="105"/>
      <c r="P105" s="76"/>
      <c r="Q105" s="2"/>
      <c r="R105" s="1"/>
      <c r="S105" s="6"/>
      <c r="T105" s="1"/>
    </row>
    <row r="106" spans="4:20" x14ac:dyDescent="0.25">
      <c r="E106" s="75"/>
      <c r="F106" s="75"/>
      <c r="G106" s="75"/>
      <c r="H106" s="75"/>
      <c r="I106" s="75"/>
      <c r="J106" s="75"/>
      <c r="K106" s="75"/>
      <c r="L106" s="75"/>
      <c r="M106" s="101"/>
      <c r="N106" s="76"/>
      <c r="O106" s="105"/>
      <c r="P106" s="76"/>
      <c r="Q106" s="2" t="s">
        <v>105</v>
      </c>
      <c r="R106" s="13">
        <f>((_xlfn.BITAND(P104,3840))/(2^8))</f>
        <v>6</v>
      </c>
      <c r="S106" s="27" t="str">
        <f>IF(R106&lt;16,CONCATENATE("0x0",(DEC2HEX(R106))),CONCATENATE("0x",(DEC2HEX(R106))))</f>
        <v>0x06</v>
      </c>
      <c r="T106" s="5" t="str">
        <f>DEC2BIN(R106,8)</f>
        <v>00000110</v>
      </c>
    </row>
    <row r="107" spans="4:20" x14ac:dyDescent="0.25">
      <c r="E107" s="73" t="s">
        <v>106</v>
      </c>
      <c r="F107" s="73"/>
      <c r="G107" s="73"/>
      <c r="H107" s="73"/>
      <c r="I107" s="73"/>
      <c r="J107" s="73"/>
      <c r="K107" s="73"/>
      <c r="L107" s="73"/>
      <c r="M107" s="1"/>
      <c r="P107" s="9"/>
      <c r="Q107" s="19"/>
      <c r="R107" s="19"/>
      <c r="S107" s="2"/>
      <c r="T107" s="1"/>
    </row>
    <row r="108" spans="4:20" x14ac:dyDescent="0.25">
      <c r="E108" s="75">
        <f>0.2363*2</f>
        <v>0.47260000000000002</v>
      </c>
      <c r="F108" s="75"/>
      <c r="G108" s="75"/>
      <c r="H108" s="75"/>
      <c r="I108" s="75"/>
      <c r="J108" s="75"/>
      <c r="K108" s="75"/>
      <c r="L108" s="75"/>
      <c r="M108" s="101" t="s">
        <v>5</v>
      </c>
      <c r="N108" s="76">
        <f>(P108*Variables!C1/Variables!C3)</f>
        <v>0.47252747252747251</v>
      </c>
      <c r="O108" s="105" t="s">
        <v>5</v>
      </c>
      <c r="P108" s="76">
        <f>(IF(E108&lt;0,0,IF(E108&gt;1.8,4095,ROUND(((E108*4095)/1.8),0))))</f>
        <v>1075</v>
      </c>
      <c r="Q108" s="2" t="s">
        <v>103</v>
      </c>
      <c r="R108" s="13">
        <f>_xlfn.BITAND(P108,255)</f>
        <v>51</v>
      </c>
      <c r="S108" s="27" t="str">
        <f>IF(R108&lt;16,CONCATENATE("0x0",(DEC2HEX(R108))),CONCATENATE("0x",(DEC2HEX(R108))))</f>
        <v>0x33</v>
      </c>
      <c r="T108" s="5" t="str">
        <f>DEC2BIN(R108,8)</f>
        <v>00110011</v>
      </c>
    </row>
    <row r="109" spans="4:20" x14ac:dyDescent="0.25">
      <c r="D109" t="s">
        <v>206</v>
      </c>
      <c r="E109" s="75"/>
      <c r="F109" s="75"/>
      <c r="G109" s="75"/>
      <c r="H109" s="75"/>
      <c r="I109" s="75"/>
      <c r="J109" s="75"/>
      <c r="K109" s="75"/>
      <c r="L109" s="75"/>
      <c r="M109" s="101"/>
      <c r="N109" s="76"/>
      <c r="O109" s="105"/>
      <c r="P109" s="76"/>
      <c r="Q109" s="2"/>
      <c r="R109" s="1"/>
      <c r="S109" s="6"/>
      <c r="T109" s="1"/>
    </row>
    <row r="110" spans="4:20" x14ac:dyDescent="0.25">
      <c r="E110" s="75"/>
      <c r="F110" s="75"/>
      <c r="G110" s="75"/>
      <c r="H110" s="75"/>
      <c r="I110" s="75"/>
      <c r="J110" s="75"/>
      <c r="K110" s="75"/>
      <c r="L110" s="75"/>
      <c r="M110" s="101"/>
      <c r="N110" s="76"/>
      <c r="O110" s="105"/>
      <c r="P110" s="76"/>
      <c r="Q110" s="2" t="s">
        <v>104</v>
      </c>
      <c r="R110" s="13">
        <f>((_xlfn.BITAND(P108,3840))/(2^8))</f>
        <v>4</v>
      </c>
      <c r="S110" s="27" t="str">
        <f>IF(R110&lt;16,CONCATENATE("0x0",(DEC2HEX(R110))),CONCATENATE("0x",(DEC2HEX(R110))))</f>
        <v>0x04</v>
      </c>
      <c r="T110" s="5" t="str">
        <f>DEC2BIN(R110,8)</f>
        <v>00000100</v>
      </c>
    </row>
    <row r="111" spans="4:20" x14ac:dyDescent="0.25">
      <c r="E111" s="73" t="s">
        <v>102</v>
      </c>
      <c r="F111" s="73"/>
      <c r="G111" s="73"/>
      <c r="H111" s="73"/>
      <c r="I111" s="73"/>
      <c r="J111" s="73"/>
      <c r="K111" s="73"/>
      <c r="L111" s="73"/>
      <c r="M111" s="1"/>
      <c r="P111" s="9"/>
      <c r="Q111" s="19"/>
      <c r="R111" s="19"/>
      <c r="S111" s="2"/>
      <c r="T111" s="1"/>
    </row>
    <row r="112" spans="4:20" x14ac:dyDescent="0.25">
      <c r="E112" s="75">
        <f>0.2683*2</f>
        <v>0.53659999999999997</v>
      </c>
      <c r="F112" s="75"/>
      <c r="G112" s="75"/>
      <c r="H112" s="75"/>
      <c r="I112" s="75"/>
      <c r="J112" s="75"/>
      <c r="K112" s="75"/>
      <c r="L112" s="75"/>
      <c r="M112" s="101" t="s">
        <v>5</v>
      </c>
      <c r="N112" s="76">
        <f>(P112*Variables!C1/Variables!C3)</f>
        <v>0.53670329670329675</v>
      </c>
      <c r="O112" s="105" t="s">
        <v>5</v>
      </c>
      <c r="P112" s="76">
        <f>(IF(E112&lt;0,0,IF(E112&gt;1.8,4095,ROUND(((E112*4095)/1.8),0))))</f>
        <v>1221</v>
      </c>
      <c r="Q112" s="2" t="s">
        <v>107</v>
      </c>
      <c r="R112" s="13">
        <f>_xlfn.BITAND(P112,255)</f>
        <v>197</v>
      </c>
      <c r="S112" s="27" t="str">
        <f>IF(R112&lt;16,CONCATENATE("0x0",(DEC2HEX(R112))),CONCATENATE("0x",(DEC2HEX(R112))))</f>
        <v>0xC5</v>
      </c>
      <c r="T112" s="5" t="str">
        <f>DEC2BIN(R112,8)</f>
        <v>11000101</v>
      </c>
    </row>
    <row r="113" spans="4:20" x14ac:dyDescent="0.25">
      <c r="D113" t="s">
        <v>207</v>
      </c>
      <c r="E113" s="75"/>
      <c r="F113" s="75"/>
      <c r="G113" s="75"/>
      <c r="H113" s="75"/>
      <c r="I113" s="75"/>
      <c r="J113" s="75"/>
      <c r="K113" s="75"/>
      <c r="L113" s="75"/>
      <c r="M113" s="101"/>
      <c r="N113" s="76"/>
      <c r="O113" s="105"/>
      <c r="P113" s="76"/>
      <c r="Q113" s="2"/>
      <c r="R113" s="1"/>
      <c r="S113" s="6"/>
      <c r="T113" s="1"/>
    </row>
    <row r="114" spans="4:20" x14ac:dyDescent="0.25">
      <c r="E114" s="75"/>
      <c r="F114" s="75"/>
      <c r="G114" s="75"/>
      <c r="H114" s="75"/>
      <c r="I114" s="75"/>
      <c r="J114" s="75"/>
      <c r="K114" s="75"/>
      <c r="L114" s="75"/>
      <c r="M114" s="101"/>
      <c r="N114" s="76"/>
      <c r="O114" s="105"/>
      <c r="P114" s="76"/>
      <c r="Q114" s="2" t="s">
        <v>108</v>
      </c>
      <c r="R114" s="13">
        <f>((_xlfn.BITAND(P112,3840))/(2^8))</f>
        <v>4</v>
      </c>
      <c r="S114" s="27" t="str">
        <f>IF(R114&lt;16,CONCATENATE("0x0",(DEC2HEX(R114))),CONCATENATE("0x",(DEC2HEX(R114))))</f>
        <v>0x04</v>
      </c>
      <c r="T114" s="5" t="str">
        <f>DEC2BIN(R114,8)</f>
        <v>00000100</v>
      </c>
    </row>
    <row r="115" spans="4:20" x14ac:dyDescent="0.25">
      <c r="E115" s="73" t="s">
        <v>109</v>
      </c>
      <c r="F115" s="73"/>
      <c r="G115" s="73"/>
      <c r="H115" s="73"/>
      <c r="I115" s="73"/>
      <c r="J115" s="73"/>
      <c r="K115" s="73"/>
      <c r="L115" s="73"/>
      <c r="M115" s="1"/>
      <c r="P115" s="9"/>
      <c r="Q115" s="19"/>
      <c r="R115" s="19"/>
      <c r="S115" s="2"/>
      <c r="T115" s="1"/>
    </row>
    <row r="116" spans="4:20" x14ac:dyDescent="0.25">
      <c r="E116" s="75">
        <f>0.6564*2</f>
        <v>1.3128</v>
      </c>
      <c r="F116" s="75"/>
      <c r="G116" s="75"/>
      <c r="H116" s="75"/>
      <c r="I116" s="75"/>
      <c r="J116" s="75"/>
      <c r="K116" s="75"/>
      <c r="L116" s="75"/>
      <c r="M116" s="101" t="s">
        <v>5</v>
      </c>
      <c r="N116" s="76">
        <f>(P116*Variables!C1/Variables!C3)</f>
        <v>1.3129670329670331</v>
      </c>
      <c r="O116" s="105" t="s">
        <v>5</v>
      </c>
      <c r="P116" s="76">
        <f>(IF(E116&lt;0,0,IF(E116&gt;1.8,4095,ROUND(((E116*4095)/1.8),0))))</f>
        <v>2987</v>
      </c>
      <c r="Q116" s="2" t="s">
        <v>110</v>
      </c>
      <c r="R116" s="13">
        <f>_xlfn.BITAND(P116,255)</f>
        <v>171</v>
      </c>
      <c r="S116" s="27" t="str">
        <f>IF(R116&lt;16,CONCATENATE("0x0",(DEC2HEX(R116))),CONCATENATE("0x",(DEC2HEX(R116))))</f>
        <v>0xAB</v>
      </c>
      <c r="T116" s="5" t="str">
        <f>DEC2BIN(R116,8)</f>
        <v>10101011</v>
      </c>
    </row>
    <row r="117" spans="4:20" x14ac:dyDescent="0.25">
      <c r="D117" t="s">
        <v>208</v>
      </c>
      <c r="E117" s="75"/>
      <c r="F117" s="75"/>
      <c r="G117" s="75"/>
      <c r="H117" s="75"/>
      <c r="I117" s="75"/>
      <c r="J117" s="75"/>
      <c r="K117" s="75"/>
      <c r="L117" s="75"/>
      <c r="M117" s="101"/>
      <c r="N117" s="76"/>
      <c r="O117" s="105"/>
      <c r="P117" s="76"/>
      <c r="Q117" s="2"/>
      <c r="R117" s="1"/>
      <c r="S117" s="6"/>
      <c r="T117" s="1"/>
    </row>
    <row r="118" spans="4:20" x14ac:dyDescent="0.25">
      <c r="E118" s="75"/>
      <c r="F118" s="75"/>
      <c r="G118" s="75"/>
      <c r="H118" s="75"/>
      <c r="I118" s="75"/>
      <c r="J118" s="75"/>
      <c r="K118" s="75"/>
      <c r="L118" s="75"/>
      <c r="M118" s="101"/>
      <c r="N118" s="76"/>
      <c r="O118" s="105"/>
      <c r="P118" s="76"/>
      <c r="Q118" s="2" t="s">
        <v>111</v>
      </c>
      <c r="R118" s="13">
        <f>((_xlfn.BITAND(P116,3840))/(2^8))</f>
        <v>11</v>
      </c>
      <c r="S118" s="27" t="str">
        <f>IF(R118&lt;16,CONCATENATE("0x0",(DEC2HEX(R118))),CONCATENATE("0x",(DEC2HEX(R118))))</f>
        <v>0x0B</v>
      </c>
      <c r="T118" s="5" t="str">
        <f>DEC2BIN(R118,8)</f>
        <v>00001011</v>
      </c>
    </row>
    <row r="119" spans="4:20" x14ac:dyDescent="0.25">
      <c r="E119" s="73" t="s">
        <v>112</v>
      </c>
      <c r="F119" s="73"/>
      <c r="G119" s="73"/>
      <c r="H119" s="73"/>
      <c r="I119" s="73"/>
      <c r="J119" s="73"/>
      <c r="K119" s="73"/>
      <c r="L119" s="73"/>
      <c r="M119" s="1"/>
      <c r="P119" s="9"/>
      <c r="Q119" s="19"/>
      <c r="R119" s="19"/>
      <c r="S119" s="2"/>
      <c r="T119" s="1"/>
    </row>
    <row r="120" spans="4:20" x14ac:dyDescent="0.25">
      <c r="E120" s="75">
        <f>0.6453*2</f>
        <v>1.2906</v>
      </c>
      <c r="F120" s="75"/>
      <c r="G120" s="75"/>
      <c r="H120" s="75"/>
      <c r="I120" s="75"/>
      <c r="J120" s="75"/>
      <c r="K120" s="75"/>
      <c r="L120" s="75"/>
      <c r="M120" s="101" t="s">
        <v>5</v>
      </c>
      <c r="N120" s="76">
        <f>(P120*Variables!C1/Variables!C3)</f>
        <v>1.2905494505494506</v>
      </c>
      <c r="O120" s="105" t="s">
        <v>5</v>
      </c>
      <c r="P120" s="76">
        <f>(IF(E120&lt;0,0,IF(E120&gt;1.8,4095,ROUND(((E120*4095)/1.8),0))))</f>
        <v>2936</v>
      </c>
      <c r="Q120" s="2" t="s">
        <v>113</v>
      </c>
      <c r="R120" s="13">
        <f>_xlfn.BITAND(P120,255)</f>
        <v>120</v>
      </c>
      <c r="S120" s="27" t="str">
        <f>IF(R120&lt;16,CONCATENATE("0x0",(DEC2HEX(R120))),CONCATENATE("0x",(DEC2HEX(R120))))</f>
        <v>0x78</v>
      </c>
      <c r="T120" s="5" t="str">
        <f>DEC2BIN(R120,8)</f>
        <v>01111000</v>
      </c>
    </row>
    <row r="121" spans="4:20" x14ac:dyDescent="0.25">
      <c r="D121" t="s">
        <v>209</v>
      </c>
      <c r="E121" s="75"/>
      <c r="F121" s="75"/>
      <c r="G121" s="75"/>
      <c r="H121" s="75"/>
      <c r="I121" s="75"/>
      <c r="J121" s="75"/>
      <c r="K121" s="75"/>
      <c r="L121" s="75"/>
      <c r="M121" s="101"/>
      <c r="N121" s="76"/>
      <c r="O121" s="105"/>
      <c r="P121" s="76"/>
      <c r="Q121" s="2"/>
      <c r="R121" s="1"/>
      <c r="S121" s="6"/>
      <c r="T121" s="1"/>
    </row>
    <row r="122" spans="4:20" x14ac:dyDescent="0.25">
      <c r="E122" s="75"/>
      <c r="F122" s="75"/>
      <c r="G122" s="75"/>
      <c r="H122" s="75"/>
      <c r="I122" s="75"/>
      <c r="J122" s="75"/>
      <c r="K122" s="75"/>
      <c r="L122" s="75"/>
      <c r="M122" s="101"/>
      <c r="N122" s="76"/>
      <c r="O122" s="105"/>
      <c r="P122" s="76"/>
      <c r="Q122" s="2" t="s">
        <v>114</v>
      </c>
      <c r="R122" s="13">
        <f>((_xlfn.BITAND(P120,3840))/(2^8))</f>
        <v>11</v>
      </c>
      <c r="S122" s="27" t="str">
        <f>IF(R122&lt;16,CONCATENATE("0x0",(DEC2HEX(R122))),CONCATENATE("0x",(DEC2HEX(R122))))</f>
        <v>0x0B</v>
      </c>
      <c r="T122" s="5" t="str">
        <f>DEC2BIN(R122,8)</f>
        <v>00001011</v>
      </c>
    </row>
    <row r="123" spans="4:20" x14ac:dyDescent="0.25">
      <c r="E123" s="73" t="s">
        <v>115</v>
      </c>
      <c r="F123" s="73"/>
      <c r="G123" s="73"/>
      <c r="H123" s="73"/>
      <c r="I123" s="73"/>
      <c r="J123" s="73"/>
      <c r="K123" s="73"/>
      <c r="L123" s="73"/>
      <c r="M123" s="1"/>
      <c r="P123" s="9"/>
      <c r="Q123" s="19"/>
      <c r="R123" s="19"/>
      <c r="S123" s="2"/>
      <c r="T123" s="1"/>
    </row>
    <row r="124" spans="4:20" x14ac:dyDescent="0.25">
      <c r="E124" s="75">
        <f>0.2363*2</f>
        <v>0.47260000000000002</v>
      </c>
      <c r="F124" s="75"/>
      <c r="G124" s="75"/>
      <c r="H124" s="75"/>
      <c r="I124" s="75"/>
      <c r="J124" s="75"/>
      <c r="K124" s="75"/>
      <c r="L124" s="75"/>
      <c r="M124" s="101" t="s">
        <v>5</v>
      </c>
      <c r="N124" s="76">
        <f>(P124*Variables!C1/Variables!C3)</f>
        <v>0.47252747252747251</v>
      </c>
      <c r="O124" s="105" t="s">
        <v>5</v>
      </c>
      <c r="P124" s="76">
        <f>(IF(E124&lt;0,0,IF(E124&gt;1.8,4095,ROUND(((E124*4095)/1.8),0))))</f>
        <v>1075</v>
      </c>
      <c r="Q124" s="2" t="s">
        <v>116</v>
      </c>
      <c r="R124" s="13">
        <f>_xlfn.BITAND(P124,255)</f>
        <v>51</v>
      </c>
      <c r="S124" s="27" t="str">
        <f>IF(R124&lt;16,CONCATENATE("0x0",(DEC2HEX(R124))),CONCATENATE("0x",(DEC2HEX(R124))))</f>
        <v>0x33</v>
      </c>
      <c r="T124" s="5" t="str">
        <f>DEC2BIN(R124,8)</f>
        <v>00110011</v>
      </c>
    </row>
    <row r="125" spans="4:20" x14ac:dyDescent="0.25">
      <c r="D125" t="s">
        <v>206</v>
      </c>
      <c r="E125" s="75"/>
      <c r="F125" s="75"/>
      <c r="G125" s="75"/>
      <c r="H125" s="75"/>
      <c r="I125" s="75"/>
      <c r="J125" s="75"/>
      <c r="K125" s="75"/>
      <c r="L125" s="75"/>
      <c r="M125" s="101"/>
      <c r="N125" s="76"/>
      <c r="O125" s="105"/>
      <c r="P125" s="76"/>
      <c r="Q125" s="2"/>
      <c r="R125" s="1"/>
      <c r="S125" s="6"/>
      <c r="T125" s="1"/>
    </row>
    <row r="126" spans="4:20" x14ac:dyDescent="0.25">
      <c r="E126" s="75"/>
      <c r="F126" s="75"/>
      <c r="G126" s="75"/>
      <c r="H126" s="75"/>
      <c r="I126" s="75"/>
      <c r="J126" s="75"/>
      <c r="K126" s="75"/>
      <c r="L126" s="75"/>
      <c r="M126" s="101"/>
      <c r="N126" s="76"/>
      <c r="O126" s="105"/>
      <c r="P126" s="76"/>
      <c r="Q126" s="2" t="s">
        <v>117</v>
      </c>
      <c r="R126" s="13">
        <f>((_xlfn.BITAND(P124,3840))/(2^8))</f>
        <v>4</v>
      </c>
      <c r="S126" s="27" t="str">
        <f>IF(R126&lt;16,CONCATENATE("0x0",(DEC2HEX(R126))),CONCATENATE("0x",(DEC2HEX(R126))))</f>
        <v>0x04</v>
      </c>
      <c r="T126" s="5" t="str">
        <f>DEC2BIN(R126,8)</f>
        <v>00000100</v>
      </c>
    </row>
    <row r="127" spans="4:20" x14ac:dyDescent="0.25">
      <c r="E127" s="73" t="s">
        <v>118</v>
      </c>
      <c r="F127" s="73"/>
      <c r="G127" s="73"/>
      <c r="H127" s="73"/>
      <c r="I127" s="73"/>
      <c r="J127" s="73"/>
      <c r="K127" s="73"/>
      <c r="L127" s="73"/>
      <c r="M127" s="1"/>
      <c r="P127" s="9"/>
      <c r="Q127" s="19"/>
      <c r="R127" s="19"/>
      <c r="S127" s="2"/>
      <c r="T127" s="1"/>
    </row>
    <row r="128" spans="4:20" x14ac:dyDescent="0.25">
      <c r="E128" s="75">
        <f>0.2683*2</f>
        <v>0.53659999999999997</v>
      </c>
      <c r="F128" s="75"/>
      <c r="G128" s="75"/>
      <c r="H128" s="75"/>
      <c r="I128" s="75"/>
      <c r="J128" s="75"/>
      <c r="K128" s="75"/>
      <c r="L128" s="75"/>
      <c r="M128" s="101" t="s">
        <v>5</v>
      </c>
      <c r="N128" s="76">
        <f>(P128*Variables!C1/Variables!C3)</f>
        <v>0.53670329670329675</v>
      </c>
      <c r="O128" s="105" t="s">
        <v>5</v>
      </c>
      <c r="P128" s="76">
        <f>(IF(E128&lt;0,0,IF(E128&gt;1.8,4095,ROUND(((E128*4095)/1.8),0))))</f>
        <v>1221</v>
      </c>
      <c r="Q128" s="2" t="s">
        <v>119</v>
      </c>
      <c r="R128" s="13">
        <f>_xlfn.BITAND(P128,255)</f>
        <v>197</v>
      </c>
      <c r="S128" s="27" t="str">
        <f>IF(R128&lt;16,CONCATENATE("0x0",(DEC2HEX(R128))),CONCATENATE("0x",(DEC2HEX(R128))))</f>
        <v>0xC5</v>
      </c>
      <c r="T128" s="5" t="str">
        <f>DEC2BIN(R128,8)</f>
        <v>11000101</v>
      </c>
    </row>
    <row r="129" spans="4:20" x14ac:dyDescent="0.25">
      <c r="D129" t="s">
        <v>207</v>
      </c>
      <c r="E129" s="75"/>
      <c r="F129" s="75"/>
      <c r="G129" s="75"/>
      <c r="H129" s="75"/>
      <c r="I129" s="75"/>
      <c r="J129" s="75"/>
      <c r="K129" s="75"/>
      <c r="L129" s="75"/>
      <c r="M129" s="101"/>
      <c r="N129" s="76"/>
      <c r="O129" s="105"/>
      <c r="P129" s="76"/>
      <c r="Q129" s="2"/>
      <c r="R129" s="1"/>
      <c r="S129" s="6"/>
      <c r="T129" s="1"/>
    </row>
    <row r="130" spans="4:20" x14ac:dyDescent="0.25">
      <c r="E130" s="75"/>
      <c r="F130" s="75"/>
      <c r="G130" s="75"/>
      <c r="H130" s="75"/>
      <c r="I130" s="75"/>
      <c r="J130" s="75"/>
      <c r="K130" s="75"/>
      <c r="L130" s="75"/>
      <c r="M130" s="101"/>
      <c r="N130" s="76"/>
      <c r="O130" s="105"/>
      <c r="P130" s="76"/>
      <c r="Q130" s="2" t="s">
        <v>120</v>
      </c>
      <c r="R130" s="13">
        <f>((_xlfn.BITAND(P128,3840))/(2^8))</f>
        <v>4</v>
      </c>
      <c r="S130" s="27" t="str">
        <f>IF(R130&lt;16,CONCATENATE("0x0",(DEC2HEX(R130))),CONCATENATE("0x",(DEC2HEX(R130))))</f>
        <v>0x04</v>
      </c>
      <c r="T130" s="5" t="str">
        <f>DEC2BIN(R130,8)</f>
        <v>00000100</v>
      </c>
    </row>
    <row r="131" spans="4:20" x14ac:dyDescent="0.25">
      <c r="E131" s="73" t="s">
        <v>123</v>
      </c>
      <c r="F131" s="73"/>
      <c r="G131" s="73"/>
      <c r="H131" s="73"/>
      <c r="I131" s="73"/>
      <c r="J131" s="73"/>
      <c r="K131" s="73"/>
      <c r="L131" s="73"/>
      <c r="M131" s="1"/>
      <c r="P131" s="9"/>
      <c r="Q131" s="19"/>
      <c r="R131" s="19"/>
      <c r="S131" s="2"/>
      <c r="T131" s="1"/>
    </row>
    <row r="132" spans="4:20" x14ac:dyDescent="0.25">
      <c r="E132" s="75">
        <f>0.6564*2</f>
        <v>1.3128</v>
      </c>
      <c r="F132" s="75"/>
      <c r="G132" s="75"/>
      <c r="H132" s="75"/>
      <c r="I132" s="75"/>
      <c r="J132" s="75"/>
      <c r="K132" s="75"/>
      <c r="L132" s="75"/>
      <c r="M132" s="101" t="s">
        <v>5</v>
      </c>
      <c r="N132" s="76">
        <f>(P132*Variables!C1/Variables!C3)</f>
        <v>1.3129670329670331</v>
      </c>
      <c r="O132" s="105" t="s">
        <v>5</v>
      </c>
      <c r="P132" s="76">
        <f>(IF(E132&lt;0,0,IF(E132&gt;1.8,4095,ROUND(((E132*4095)/1.8),0))))</f>
        <v>2987</v>
      </c>
      <c r="Q132" s="2" t="s">
        <v>121</v>
      </c>
      <c r="R132" s="13">
        <f>_xlfn.BITAND(P132,255)</f>
        <v>171</v>
      </c>
      <c r="S132" s="27" t="str">
        <f>IF(R132&lt;16,CONCATENATE("0x0",(DEC2HEX(R132))),CONCATENATE("0x",(DEC2HEX(R132))))</f>
        <v>0xAB</v>
      </c>
      <c r="T132" s="5" t="str">
        <f>DEC2BIN(R132,8)</f>
        <v>10101011</v>
      </c>
    </row>
    <row r="133" spans="4:20" x14ac:dyDescent="0.25">
      <c r="D133" t="s">
        <v>208</v>
      </c>
      <c r="E133" s="75"/>
      <c r="F133" s="75"/>
      <c r="G133" s="75"/>
      <c r="H133" s="75"/>
      <c r="I133" s="75"/>
      <c r="J133" s="75"/>
      <c r="K133" s="75"/>
      <c r="L133" s="75"/>
      <c r="M133" s="101"/>
      <c r="N133" s="76"/>
      <c r="O133" s="105"/>
      <c r="P133" s="76"/>
      <c r="Q133" s="2"/>
      <c r="R133" s="1"/>
      <c r="S133" s="6"/>
      <c r="T133" s="1"/>
    </row>
    <row r="134" spans="4:20" x14ac:dyDescent="0.25">
      <c r="E134" s="75"/>
      <c r="F134" s="75"/>
      <c r="G134" s="75"/>
      <c r="H134" s="75"/>
      <c r="I134" s="75"/>
      <c r="J134" s="75"/>
      <c r="K134" s="75"/>
      <c r="L134" s="75"/>
      <c r="M134" s="101"/>
      <c r="N134" s="76"/>
      <c r="O134" s="105"/>
      <c r="P134" s="76"/>
      <c r="Q134" s="2" t="s">
        <v>122</v>
      </c>
      <c r="R134" s="13">
        <f>((_xlfn.BITAND(P132,3840))/(2^8))</f>
        <v>11</v>
      </c>
      <c r="S134" s="27" t="str">
        <f>IF(R134&lt;16,CONCATENATE("0x0",(DEC2HEX(R134))),CONCATENATE("0x",(DEC2HEX(R134))))</f>
        <v>0x0B</v>
      </c>
      <c r="T134" s="5" t="str">
        <f>DEC2BIN(R134,8)</f>
        <v>00001011</v>
      </c>
    </row>
    <row r="135" spans="4:20" x14ac:dyDescent="0.25">
      <c r="E135" s="73" t="s">
        <v>124</v>
      </c>
      <c r="F135" s="73"/>
      <c r="G135" s="73"/>
      <c r="H135" s="73"/>
      <c r="I135" s="73"/>
      <c r="J135" s="73"/>
      <c r="K135" s="73"/>
      <c r="L135" s="73"/>
      <c r="M135" s="1"/>
      <c r="P135" s="9"/>
      <c r="Q135" s="19"/>
      <c r="R135" s="19"/>
      <c r="S135" s="2"/>
      <c r="T135" s="1"/>
    </row>
    <row r="136" spans="4:20" x14ac:dyDescent="0.25">
      <c r="E136" s="75">
        <f>0.6453*2</f>
        <v>1.2906</v>
      </c>
      <c r="F136" s="75"/>
      <c r="G136" s="75"/>
      <c r="H136" s="75"/>
      <c r="I136" s="75"/>
      <c r="J136" s="75"/>
      <c r="K136" s="75"/>
      <c r="L136" s="75"/>
      <c r="M136" s="101" t="s">
        <v>5</v>
      </c>
      <c r="N136" s="76">
        <f>(P136*Variables!C1/Variables!C3)</f>
        <v>1.2905494505494506</v>
      </c>
      <c r="O136" s="105" t="s">
        <v>5</v>
      </c>
      <c r="P136" s="76">
        <f>(IF(E136&lt;0,0,IF(E136&gt;1.8,4095,ROUND(((E136*4095)/1.8),0))))</f>
        <v>2936</v>
      </c>
      <c r="Q136" s="2" t="s">
        <v>125</v>
      </c>
      <c r="R136" s="13">
        <f>_xlfn.BITAND(P136,255)</f>
        <v>120</v>
      </c>
      <c r="S136" s="27" t="str">
        <f>IF(R136&lt;16,CONCATENATE("0x0",(DEC2HEX(R136))),CONCATENATE("0x",(DEC2HEX(R136))))</f>
        <v>0x78</v>
      </c>
      <c r="T136" s="5" t="str">
        <f>DEC2BIN(R136,8)</f>
        <v>01111000</v>
      </c>
    </row>
    <row r="137" spans="4:20" x14ac:dyDescent="0.25">
      <c r="D137" t="s">
        <v>209</v>
      </c>
      <c r="E137" s="75"/>
      <c r="F137" s="75"/>
      <c r="G137" s="75"/>
      <c r="H137" s="75"/>
      <c r="I137" s="75"/>
      <c r="J137" s="75"/>
      <c r="K137" s="75"/>
      <c r="L137" s="75"/>
      <c r="M137" s="101"/>
      <c r="N137" s="76"/>
      <c r="O137" s="105"/>
      <c r="P137" s="76"/>
      <c r="Q137" s="2"/>
      <c r="R137" s="1"/>
      <c r="S137" s="6"/>
      <c r="T137" s="1"/>
    </row>
    <row r="138" spans="4:20" x14ac:dyDescent="0.25">
      <c r="E138" s="75"/>
      <c r="F138" s="75"/>
      <c r="G138" s="75"/>
      <c r="H138" s="75"/>
      <c r="I138" s="75"/>
      <c r="J138" s="75"/>
      <c r="K138" s="75"/>
      <c r="L138" s="75"/>
      <c r="M138" s="101"/>
      <c r="N138" s="76"/>
      <c r="O138" s="105"/>
      <c r="P138" s="76"/>
      <c r="Q138" s="2" t="s">
        <v>126</v>
      </c>
      <c r="R138" s="13">
        <f>((_xlfn.BITAND(P136,3840))/(2^8))</f>
        <v>11</v>
      </c>
      <c r="S138" s="27" t="str">
        <f>IF(R138&lt;16,CONCATENATE("0x0",(DEC2HEX(R138))),CONCATENATE("0x",(DEC2HEX(R138))))</f>
        <v>0x0B</v>
      </c>
      <c r="T138" s="5" t="str">
        <f>DEC2BIN(R138,8)</f>
        <v>00001011</v>
      </c>
    </row>
    <row r="139" spans="4:20" x14ac:dyDescent="0.25">
      <c r="E139" s="73" t="s">
        <v>127</v>
      </c>
      <c r="F139" s="73"/>
      <c r="G139" s="73"/>
      <c r="H139" s="73"/>
      <c r="I139" s="73"/>
      <c r="J139" s="73"/>
      <c r="K139" s="73"/>
      <c r="L139" s="73"/>
      <c r="M139" s="1"/>
      <c r="P139" s="9"/>
      <c r="Q139" s="19"/>
      <c r="R139" s="19"/>
      <c r="S139" s="2"/>
      <c r="T139" s="1"/>
    </row>
    <row r="140" spans="4:20" x14ac:dyDescent="0.25">
      <c r="E140" s="59">
        <v>0.71912100000000001</v>
      </c>
      <c r="F140" s="60"/>
      <c r="G140" s="60"/>
      <c r="H140" s="60"/>
      <c r="I140" s="60"/>
      <c r="J140" s="60"/>
      <c r="K140" s="60"/>
      <c r="L140" s="61"/>
      <c r="M140" s="101" t="s">
        <v>5</v>
      </c>
      <c r="N140" s="76">
        <f>(P140*Variables!C1/Variables!C3)</f>
        <v>0.71912087912087919</v>
      </c>
      <c r="O140" s="105" t="s">
        <v>5</v>
      </c>
      <c r="P140" s="76">
        <f>(IF(E140&lt;0,0,IF(E140&gt;1.8,4095,ROUND(((E140*4095)/1.8),0))))</f>
        <v>1636</v>
      </c>
      <c r="Q140" s="2" t="s">
        <v>128</v>
      </c>
      <c r="R140" s="13">
        <f>_xlfn.BITAND(P140,255)</f>
        <v>100</v>
      </c>
      <c r="S140" s="27" t="str">
        <f>IF(R140&lt;16,CONCATENATE("0x0",(DEC2HEX(R140))),CONCATENATE("0x",(DEC2HEX(R140))))</f>
        <v>0x64</v>
      </c>
      <c r="T140" s="5" t="str">
        <f>DEC2BIN(R140,8)</f>
        <v>01100100</v>
      </c>
    </row>
    <row r="141" spans="4:20" x14ac:dyDescent="0.25">
      <c r="E141" s="83"/>
      <c r="F141" s="84"/>
      <c r="G141" s="84"/>
      <c r="H141" s="84"/>
      <c r="I141" s="84"/>
      <c r="J141" s="84"/>
      <c r="K141" s="84"/>
      <c r="L141" s="85"/>
      <c r="M141" s="101"/>
      <c r="N141" s="76"/>
      <c r="O141" s="105"/>
      <c r="P141" s="76"/>
      <c r="Q141" s="2"/>
      <c r="R141" s="1"/>
      <c r="S141" s="6"/>
      <c r="T141" s="1"/>
    </row>
    <row r="142" spans="4:20" x14ac:dyDescent="0.25">
      <c r="E142" s="62"/>
      <c r="F142" s="63"/>
      <c r="G142" s="63"/>
      <c r="H142" s="63"/>
      <c r="I142" s="63"/>
      <c r="J142" s="63"/>
      <c r="K142" s="63"/>
      <c r="L142" s="64"/>
      <c r="M142" s="101"/>
      <c r="N142" s="76"/>
      <c r="O142" s="105"/>
      <c r="P142" s="76"/>
      <c r="Q142" s="2" t="s">
        <v>129</v>
      </c>
      <c r="R142" s="13">
        <f>((_xlfn.BITAND(P140,3840))/(2^8))</f>
        <v>6</v>
      </c>
      <c r="S142" s="27" t="str">
        <f>IF(R142&lt;16,CONCATENATE("0x0",(DEC2HEX(R142))),CONCATENATE("0x",(DEC2HEX(R142))))</f>
        <v>0x06</v>
      </c>
      <c r="T142" s="5" t="str">
        <f>DEC2BIN(R142,8)</f>
        <v>00000110</v>
      </c>
    </row>
    <row r="143" spans="4:20" x14ac:dyDescent="0.25">
      <c r="E143" s="73" t="s">
        <v>130</v>
      </c>
      <c r="F143" s="73"/>
      <c r="G143" s="73"/>
      <c r="H143" s="73"/>
      <c r="I143" s="73"/>
      <c r="J143" s="73"/>
      <c r="K143" s="73"/>
      <c r="L143" s="73"/>
      <c r="M143" s="1"/>
      <c r="P143" s="9"/>
      <c r="Q143" s="19"/>
      <c r="R143" s="19"/>
      <c r="S143" s="2"/>
      <c r="T143" s="1"/>
    </row>
    <row r="144" spans="4:20" x14ac:dyDescent="0.25">
      <c r="E144" s="75">
        <v>0.68219799999999997</v>
      </c>
      <c r="F144" s="75"/>
      <c r="G144" s="75"/>
      <c r="H144" s="75"/>
      <c r="I144" s="75"/>
      <c r="J144" s="75"/>
      <c r="K144" s="75"/>
      <c r="L144" s="75"/>
      <c r="M144" s="101" t="s">
        <v>5</v>
      </c>
      <c r="N144" s="76">
        <f>(P144*Variables!C1/Variables!C3)</f>
        <v>0.68219780219780213</v>
      </c>
      <c r="O144" s="105" t="s">
        <v>5</v>
      </c>
      <c r="P144" s="76">
        <f>(IF(E144&lt;0,0,IF(E144&gt;1.8,4095,ROUND(((E144*4095)/1.8),0))))</f>
        <v>1552</v>
      </c>
      <c r="Q144" s="2" t="s">
        <v>131</v>
      </c>
      <c r="R144" s="13">
        <f>_xlfn.BITAND(P144,255)</f>
        <v>16</v>
      </c>
      <c r="S144" s="27" t="str">
        <f>IF(R144&lt;16,CONCATENATE("0x0",(DEC2HEX(R144))),CONCATENATE("0x",(DEC2HEX(R144))))</f>
        <v>0x10</v>
      </c>
      <c r="T144" s="5" t="str">
        <f>DEC2BIN(R144,8)</f>
        <v>00010000</v>
      </c>
    </row>
    <row r="145" spans="2:20" x14ac:dyDescent="0.25">
      <c r="E145" s="75"/>
      <c r="F145" s="75"/>
      <c r="G145" s="75"/>
      <c r="H145" s="75"/>
      <c r="I145" s="75"/>
      <c r="J145" s="75"/>
      <c r="K145" s="75"/>
      <c r="L145" s="75"/>
      <c r="M145" s="101"/>
      <c r="N145" s="76"/>
      <c r="O145" s="105"/>
      <c r="P145" s="76"/>
      <c r="Q145" s="2"/>
      <c r="R145" s="1"/>
      <c r="S145" s="6"/>
      <c r="T145" s="1"/>
    </row>
    <row r="146" spans="2:20" x14ac:dyDescent="0.25">
      <c r="E146" s="75"/>
      <c r="F146" s="75"/>
      <c r="G146" s="75"/>
      <c r="H146" s="75"/>
      <c r="I146" s="75"/>
      <c r="J146" s="75"/>
      <c r="K146" s="75"/>
      <c r="L146" s="75"/>
      <c r="M146" s="101"/>
      <c r="N146" s="76"/>
      <c r="O146" s="105"/>
      <c r="P146" s="76"/>
      <c r="Q146" s="2" t="s">
        <v>132</v>
      </c>
      <c r="R146" s="13">
        <f>((_xlfn.BITAND(P144,3840))/(2^8))</f>
        <v>6</v>
      </c>
      <c r="S146" s="27" t="str">
        <f>IF(R146&lt;16,CONCATENATE("0x0",(DEC2HEX(R146))),CONCATENATE("0x",(DEC2HEX(R146))))</f>
        <v>0x06</v>
      </c>
      <c r="T146" s="5" t="str">
        <f>DEC2BIN(R146,8)</f>
        <v>00000110</v>
      </c>
    </row>
    <row r="147" spans="2:20" x14ac:dyDescent="0.25">
      <c r="E147" s="57" t="s">
        <v>135</v>
      </c>
      <c r="F147" s="57"/>
      <c r="G147" s="57"/>
      <c r="H147" s="57"/>
      <c r="I147" s="57"/>
      <c r="J147" s="57"/>
      <c r="K147" s="57"/>
      <c r="L147" s="57"/>
      <c r="M147" s="1"/>
      <c r="P147" s="1"/>
      <c r="Q147" s="2"/>
      <c r="R147" s="2"/>
      <c r="S147" s="2"/>
      <c r="T147" s="1"/>
    </row>
    <row r="148" spans="2:20" x14ac:dyDescent="0.25">
      <c r="E148" s="75">
        <v>2.5</v>
      </c>
      <c r="F148" s="75"/>
      <c r="G148" s="75"/>
      <c r="H148" s="75"/>
      <c r="I148" s="75"/>
      <c r="J148" s="75"/>
      <c r="K148" s="75"/>
      <c r="L148" s="75"/>
      <c r="M148" s="101" t="s">
        <v>5</v>
      </c>
      <c r="N148" s="76">
        <f>(P148*Variables!C1/Variables!C3)*Variables!C2</f>
        <v>2.5002197802197834</v>
      </c>
      <c r="O148" s="73" t="s">
        <v>5</v>
      </c>
      <c r="P148" s="76">
        <f>(IF(E148&lt;0,0,IF(E148&gt;4.8,4095,ROUND((E148/Variables!F3),0))))</f>
        <v>2133</v>
      </c>
      <c r="Q148" s="20" t="s">
        <v>133</v>
      </c>
      <c r="R148" s="13">
        <f>_xlfn.BITAND(P148,255)</f>
        <v>85</v>
      </c>
      <c r="S148" s="13" t="str">
        <f>IF(R148&lt;16,CONCATENATE("0x0",(DEC2HEX(R148))),CONCATENATE("0x",(DEC2HEX(R148))))</f>
        <v>0x55</v>
      </c>
      <c r="T148" s="5" t="str">
        <f>DEC2BIN(R148,8)</f>
        <v>01010101</v>
      </c>
    </row>
    <row r="149" spans="2:20" x14ac:dyDescent="0.25">
      <c r="E149" s="75"/>
      <c r="F149" s="75"/>
      <c r="G149" s="75"/>
      <c r="H149" s="75"/>
      <c r="I149" s="75"/>
      <c r="J149" s="75"/>
      <c r="K149" s="75"/>
      <c r="L149" s="75"/>
      <c r="M149" s="101"/>
      <c r="N149" s="76"/>
      <c r="O149" s="73"/>
      <c r="P149" s="76"/>
      <c r="Q149" s="2"/>
      <c r="R149" s="2"/>
      <c r="S149" s="2"/>
      <c r="T149" s="1"/>
    </row>
    <row r="150" spans="2:20" x14ac:dyDescent="0.25">
      <c r="E150" s="75"/>
      <c r="F150" s="75"/>
      <c r="G150" s="75"/>
      <c r="H150" s="75"/>
      <c r="I150" s="75"/>
      <c r="J150" s="75"/>
      <c r="K150" s="75"/>
      <c r="L150" s="75"/>
      <c r="M150" s="101"/>
      <c r="N150" s="76"/>
      <c r="O150" s="73"/>
      <c r="P150" s="76"/>
      <c r="Q150" s="2" t="s">
        <v>134</v>
      </c>
      <c r="R150" s="13">
        <f>((_xlfn.BITAND(P148,3840))/(2^8))</f>
        <v>8</v>
      </c>
      <c r="S150" s="13" t="str">
        <f>IF(R150&lt;16,CONCATENATE("0x0",(DEC2HEX(R150))),CONCATENATE("0x",(DEC2HEX(R150))))</f>
        <v>0x08</v>
      </c>
      <c r="T150" s="5" t="str">
        <f>DEC2BIN(R150,8)</f>
        <v>00001000</v>
      </c>
    </row>
    <row r="151" spans="2:20" x14ac:dyDescent="0.25">
      <c r="E151" s="57" t="s">
        <v>136</v>
      </c>
      <c r="F151" s="57"/>
      <c r="G151" s="57"/>
      <c r="H151" s="57"/>
      <c r="I151" s="57"/>
      <c r="J151" s="57"/>
      <c r="K151" s="57"/>
      <c r="L151" s="57"/>
      <c r="M151" s="11"/>
      <c r="P151" s="11"/>
      <c r="Q151" s="24"/>
      <c r="R151" s="2"/>
      <c r="S151" s="2"/>
      <c r="T151" s="1"/>
    </row>
    <row r="152" spans="2:20" x14ac:dyDescent="0.25">
      <c r="B152" s="39"/>
      <c r="C152" s="39"/>
      <c r="E152" s="72">
        <v>15</v>
      </c>
      <c r="F152" s="72"/>
      <c r="G152" s="72"/>
      <c r="H152" s="72"/>
      <c r="I152" s="72"/>
      <c r="J152" s="72"/>
      <c r="K152" s="72"/>
      <c r="L152" s="72"/>
      <c r="M152" s="16"/>
      <c r="N152" s="22">
        <f>IF(E152&lt;0, "0", IF(E152 &gt; 1024, "1024",ROUND(E152,0)))</f>
        <v>15</v>
      </c>
      <c r="O152" s="22" t="str">
        <f>N155</f>
        <v>s</v>
      </c>
      <c r="P152" s="22">
        <f>N152</f>
        <v>15</v>
      </c>
      <c r="Q152" s="2"/>
      <c r="R152" s="2"/>
      <c r="S152" s="2"/>
      <c r="T152" s="1"/>
    </row>
    <row r="153" spans="2:20" x14ac:dyDescent="0.25">
      <c r="E153" s="86" t="s">
        <v>137</v>
      </c>
      <c r="F153" s="87"/>
      <c r="G153" s="87"/>
      <c r="H153" s="87"/>
      <c r="I153" s="87"/>
      <c r="J153" s="87"/>
      <c r="K153" s="87"/>
      <c r="L153" s="88"/>
      <c r="M153" s="11"/>
      <c r="P153" s="11"/>
      <c r="Q153" s="2" t="s">
        <v>140</v>
      </c>
      <c r="R153" s="13">
        <f>_xlfn.BITAND(P152,255)</f>
        <v>15</v>
      </c>
      <c r="S153" s="13" t="str">
        <f>IF(R153&lt;16,CONCATENATE("0x0",(DEC2HEX(R153))),CONCATENATE("0x",(DEC2HEX(R153))))</f>
        <v>0x0F</v>
      </c>
      <c r="T153" s="5" t="str">
        <f>DEC2BIN(R153,8)</f>
        <v>00001111</v>
      </c>
    </row>
    <row r="154" spans="2:20" x14ac:dyDescent="0.25">
      <c r="E154" s="86" t="s">
        <v>138</v>
      </c>
      <c r="F154" s="87"/>
      <c r="G154" s="87"/>
      <c r="H154" s="88"/>
      <c r="I154" s="86" t="s">
        <v>139</v>
      </c>
      <c r="J154" s="87"/>
      <c r="K154" s="87"/>
      <c r="L154" s="88"/>
      <c r="M154" s="11"/>
      <c r="P154" s="11"/>
      <c r="Q154" s="2"/>
      <c r="R154" s="2"/>
      <c r="S154" s="2"/>
      <c r="T154" s="1"/>
    </row>
    <row r="155" spans="2:20" x14ac:dyDescent="0.25">
      <c r="E155" s="75">
        <v>1</v>
      </c>
      <c r="F155" s="75"/>
      <c r="G155" s="75"/>
      <c r="H155" s="75"/>
      <c r="I155" s="75">
        <v>0</v>
      </c>
      <c r="J155" s="75"/>
      <c r="K155" s="75"/>
      <c r="L155" s="75"/>
      <c r="M155" s="16"/>
      <c r="N155" s="22" t="str">
        <f>IF(((E155*2 +I155) = 3),"min",IF((E155*2+I155 = 2), "s",IF((E155*2+I155=1),"ms","us")))</f>
        <v>s</v>
      </c>
      <c r="O155" s="16"/>
      <c r="P155" s="22">
        <f>IF(N155="min",3,IF(N155="s",2,IF(N155="ms",1,0)))</f>
        <v>2</v>
      </c>
      <c r="Q155" s="16"/>
      <c r="R155" s="16"/>
      <c r="S155" s="16"/>
      <c r="T155" s="1"/>
    </row>
    <row r="156" spans="2:20" x14ac:dyDescent="0.25">
      <c r="E156" s="57" t="s">
        <v>141</v>
      </c>
      <c r="F156" s="57"/>
      <c r="G156" s="57"/>
      <c r="H156" s="57"/>
      <c r="I156" s="57"/>
      <c r="J156" s="57"/>
      <c r="K156" s="57"/>
      <c r="L156" s="57"/>
      <c r="M156" s="10"/>
      <c r="P156" s="10"/>
      <c r="Q156" s="19" t="s">
        <v>142</v>
      </c>
      <c r="R156" s="32">
        <f>(P157*8)+(P155*2)+((_xlfn.BITAND(P152,256))/(2^8))</f>
        <v>252</v>
      </c>
      <c r="S156" s="32" t="str">
        <f>IF(R156&lt;16,CONCATENATE("0x0",(DEC2HEX(R156))),CONCATENATE("0x",(DEC2HEX(R156))))</f>
        <v>0xFC</v>
      </c>
      <c r="T156" s="5" t="str">
        <f>DEC2BIN(R156,8)</f>
        <v>11111100</v>
      </c>
    </row>
    <row r="157" spans="2:20" x14ac:dyDescent="0.25">
      <c r="E157" s="29"/>
      <c r="F157" s="29"/>
      <c r="G157" s="29"/>
      <c r="H157" s="33">
        <v>1</v>
      </c>
      <c r="I157" s="30">
        <v>1</v>
      </c>
      <c r="J157" s="30">
        <v>1</v>
      </c>
      <c r="K157" s="30">
        <v>1</v>
      </c>
      <c r="L157" s="30">
        <v>1</v>
      </c>
      <c r="M157" s="2"/>
      <c r="N157" s="22">
        <f>BIN2DEC(CONCATENATE(H157,I157,J157,K157,L157))</f>
        <v>31</v>
      </c>
      <c r="O157" s="16" t="s">
        <v>143</v>
      </c>
      <c r="P157" s="22">
        <f>N157</f>
        <v>31</v>
      </c>
      <c r="Q157" s="16"/>
      <c r="R157" s="31"/>
      <c r="S157" s="16"/>
      <c r="T157" s="16"/>
    </row>
    <row r="158" spans="2:20" x14ac:dyDescent="0.25">
      <c r="E158" s="86" t="s">
        <v>184</v>
      </c>
      <c r="F158" s="87"/>
      <c r="G158" s="87"/>
      <c r="H158" s="87"/>
      <c r="I158" s="87"/>
      <c r="J158" s="87"/>
      <c r="K158" s="87"/>
      <c r="L158" s="88"/>
      <c r="M158" s="10"/>
      <c r="P158" s="10"/>
      <c r="Q158" s="25"/>
      <c r="R158" s="19"/>
      <c r="S158" s="19"/>
      <c r="T158" s="9"/>
    </row>
    <row r="159" spans="2:20" x14ac:dyDescent="0.25">
      <c r="E159" s="54">
        <v>0</v>
      </c>
      <c r="F159" s="56"/>
      <c r="G159" s="54">
        <v>0</v>
      </c>
      <c r="H159" s="56"/>
      <c r="I159" s="54">
        <v>0</v>
      </c>
      <c r="J159" s="56"/>
      <c r="K159" s="54">
        <v>1</v>
      </c>
      <c r="L159" s="56"/>
      <c r="M159" s="2"/>
      <c r="N159" s="34">
        <f>BIN2DEC(CONCATENATE(E159,G159,I159,K159))</f>
        <v>1</v>
      </c>
      <c r="O159" s="2" t="s">
        <v>145</v>
      </c>
      <c r="P159" s="13">
        <f>N159</f>
        <v>1</v>
      </c>
      <c r="Q159" s="2"/>
      <c r="R159" s="2"/>
      <c r="S159" s="2"/>
      <c r="T159" s="2"/>
    </row>
    <row r="160" spans="2:20" x14ac:dyDescent="0.25">
      <c r="E160" s="86" t="s">
        <v>144</v>
      </c>
      <c r="F160" s="87"/>
      <c r="G160" s="87"/>
      <c r="H160" s="87"/>
      <c r="I160" s="87"/>
      <c r="J160" s="87"/>
      <c r="K160" s="87"/>
      <c r="L160" s="88"/>
      <c r="M160" s="10"/>
      <c r="P160" s="10"/>
      <c r="Q160" s="25" t="s">
        <v>146</v>
      </c>
      <c r="R160" s="32">
        <f>(P161*16)+(P159)</f>
        <v>193</v>
      </c>
      <c r="S160" s="32" t="str">
        <f>IF(R160&lt;16,CONCATENATE("0x0",(DEC2HEX(R160))),CONCATENATE("0x",(DEC2HEX(R160))))</f>
        <v>0xC1</v>
      </c>
      <c r="T160" s="5" t="str">
        <f>DEC2BIN(R160,8)</f>
        <v>11000001</v>
      </c>
    </row>
    <row r="161" spans="2:20" x14ac:dyDescent="0.25">
      <c r="E161" s="54">
        <v>1</v>
      </c>
      <c r="F161" s="56"/>
      <c r="G161" s="54">
        <v>1</v>
      </c>
      <c r="H161" s="56"/>
      <c r="I161" s="54">
        <v>0</v>
      </c>
      <c r="J161" s="56"/>
      <c r="K161" s="54">
        <v>0</v>
      </c>
      <c r="L161" s="56"/>
      <c r="M161" s="2"/>
      <c r="N161" s="34">
        <f>16*(BIN2DEC(CONCATENATE(E161,G161,I161,K161)))</f>
        <v>192</v>
      </c>
      <c r="O161" s="2" t="s">
        <v>145</v>
      </c>
      <c r="P161" s="34">
        <f>BIN2DEC(CONCATENATE(E161,G161,I161,K161))</f>
        <v>12</v>
      </c>
      <c r="Q161" s="2"/>
      <c r="R161" s="2"/>
      <c r="S161" s="2"/>
      <c r="T161" s="2"/>
    </row>
    <row r="162" spans="2:20" x14ac:dyDescent="0.25">
      <c r="E162" s="57" t="s">
        <v>147</v>
      </c>
      <c r="F162" s="57"/>
      <c r="G162" s="57"/>
      <c r="H162" s="57"/>
      <c r="I162" s="57"/>
      <c r="J162" s="57"/>
      <c r="K162" s="57"/>
      <c r="L162" s="57"/>
      <c r="M162" s="1"/>
      <c r="P162" s="10"/>
      <c r="Q162" s="25"/>
      <c r="R162" s="19"/>
      <c r="S162" s="2"/>
      <c r="T162" s="1"/>
    </row>
    <row r="163" spans="2:20" x14ac:dyDescent="0.25">
      <c r="E163" s="72" t="s">
        <v>151</v>
      </c>
      <c r="F163" s="72"/>
      <c r="G163" s="72"/>
      <c r="H163" s="72"/>
      <c r="I163" s="72"/>
      <c r="J163" s="72"/>
      <c r="K163" s="72"/>
      <c r="L163" s="72"/>
      <c r="M163" s="16"/>
      <c r="N163" s="16"/>
      <c r="O163" s="16"/>
      <c r="P163" s="22" t="str">
        <f>IF(E163="3 Cells","131",IF(E163="4 Cells","195",IF(E163="5 Cells","199",IF(E163="6 Cells","231",IF(E163="7 Cells","239",IF(E163="8 Cells","255"))))))</f>
        <v>231</v>
      </c>
      <c r="Q163" s="16" t="s">
        <v>154</v>
      </c>
      <c r="R163" s="22" t="str">
        <f>P163</f>
        <v>231</v>
      </c>
      <c r="S163" s="13" t="str">
        <f>IF(R163&lt;16,CONCATENATE("0x0",(DEC2HEX(R163))),CONCATENATE("0x",(DEC2HEX(R163))))</f>
        <v>0xE7</v>
      </c>
      <c r="T163" s="5" t="str">
        <f>DEC2BIN(R163,8)</f>
        <v>11100111</v>
      </c>
    </row>
    <row r="164" spans="2:20" x14ac:dyDescent="0.25">
      <c r="E164" s="2" t="s">
        <v>155</v>
      </c>
      <c r="F164" s="2" t="s">
        <v>156</v>
      </c>
      <c r="G164" s="2" t="s">
        <v>157</v>
      </c>
      <c r="H164" s="2" t="s">
        <v>158</v>
      </c>
      <c r="I164" s="2" t="s">
        <v>159</v>
      </c>
      <c r="J164" s="2" t="s">
        <v>160</v>
      </c>
      <c r="K164" s="2" t="s">
        <v>161</v>
      </c>
      <c r="L164" s="2" t="s">
        <v>162</v>
      </c>
      <c r="M164" s="1"/>
      <c r="P164" s="1"/>
      <c r="Q164" s="2"/>
      <c r="R164" s="2"/>
      <c r="S164" s="2"/>
      <c r="T164" s="1"/>
    </row>
    <row r="165" spans="2:20" x14ac:dyDescent="0.25">
      <c r="E165" s="13" t="s">
        <v>163</v>
      </c>
      <c r="F165" s="13" t="str">
        <f>IF(E163 = "3 Cells", "Disabled", "Enabled")</f>
        <v>Enabled</v>
      </c>
      <c r="G165" s="13" t="str">
        <f>IF(OR(E163 = "3 Cells",  E163 = "4 Cells", E163="5 Cells"), "Disabled", "Enabled")</f>
        <v>Enabled</v>
      </c>
      <c r="H165" s="13" t="str">
        <f>IF(OR(E163 = "3 Cells",  E163 = "4 Cells", E163="5 Cells", E163 = "6 Cells", E163 = "7 Cells"), "Disabled", "Enabled")</f>
        <v>Disabled</v>
      </c>
      <c r="I165" s="13" t="str">
        <f>IF(OR(E163 = "3 Cells",  E163 = "4 Cells", E163="5 Cells", E163 = "6 Cells"), "Disabled", "Enabled")</f>
        <v>Disabled</v>
      </c>
      <c r="J165" s="13" t="str">
        <f>IF(OR(E163 = "3 Cells",  E163 = "4 Cells"), "Disabled", "Enabled")</f>
        <v>Enabled</v>
      </c>
      <c r="K165" s="13" t="s">
        <v>163</v>
      </c>
      <c r="L165" s="13" t="s">
        <v>163</v>
      </c>
      <c r="M165" s="9"/>
      <c r="P165" s="1"/>
      <c r="Q165" s="2"/>
      <c r="R165" s="2"/>
      <c r="S165" s="2"/>
      <c r="T165" s="1"/>
    </row>
    <row r="166" spans="2:20" x14ac:dyDescent="0.25">
      <c r="E166" s="86" t="s">
        <v>171</v>
      </c>
      <c r="F166" s="87"/>
      <c r="G166" s="87"/>
      <c r="H166" s="87"/>
      <c r="I166" s="87"/>
      <c r="J166" s="87"/>
      <c r="K166" s="87"/>
      <c r="L166" s="88"/>
      <c r="M166" s="9"/>
      <c r="P166" s="1"/>
      <c r="Q166" s="2"/>
      <c r="R166" s="2"/>
      <c r="S166" s="2"/>
      <c r="T166" s="1"/>
    </row>
    <row r="167" spans="2:20" x14ac:dyDescent="0.25">
      <c r="E167" s="65" t="s">
        <v>164</v>
      </c>
      <c r="F167" s="65" t="s">
        <v>55</v>
      </c>
      <c r="G167" s="65" t="s">
        <v>165</v>
      </c>
      <c r="H167" s="65" t="s">
        <v>166</v>
      </c>
      <c r="I167" s="65" t="s">
        <v>55</v>
      </c>
      <c r="J167" s="65" t="s">
        <v>167</v>
      </c>
      <c r="K167" s="65" t="s">
        <v>168</v>
      </c>
      <c r="L167" s="106" t="s">
        <v>169</v>
      </c>
      <c r="M167" s="73"/>
      <c r="N167" s="35"/>
      <c r="O167" s="35"/>
      <c r="P167" s="73"/>
      <c r="Q167" s="73"/>
      <c r="R167" s="73"/>
      <c r="S167" s="73"/>
      <c r="T167" s="73"/>
    </row>
    <row r="168" spans="2:20" x14ac:dyDescent="0.25">
      <c r="E168" s="66"/>
      <c r="F168" s="66"/>
      <c r="G168" s="66"/>
      <c r="H168" s="66"/>
      <c r="I168" s="66"/>
      <c r="J168" s="66"/>
      <c r="K168" s="66"/>
      <c r="L168" s="107"/>
      <c r="M168" s="65"/>
      <c r="N168" s="35"/>
      <c r="O168" s="35"/>
      <c r="P168" s="65"/>
      <c r="Q168" s="65"/>
      <c r="R168" s="65"/>
      <c r="S168" s="65"/>
      <c r="T168" s="65"/>
    </row>
    <row r="169" spans="2:20" x14ac:dyDescent="0.25">
      <c r="B169" s="38"/>
      <c r="C169" s="38"/>
      <c r="E169" s="12">
        <v>0</v>
      </c>
      <c r="F169" s="36"/>
      <c r="G169" s="12">
        <v>1</v>
      </c>
      <c r="H169" s="12">
        <v>0</v>
      </c>
      <c r="I169" s="36"/>
      <c r="J169" s="12">
        <v>0</v>
      </c>
      <c r="K169" s="12">
        <v>0</v>
      </c>
      <c r="L169" s="12">
        <v>0</v>
      </c>
      <c r="M169" s="2"/>
      <c r="N169" s="13" t="str">
        <f>CONCATENATE(E169,"0",G169,H169,"0",J169,K169,L169)</f>
        <v>00100000</v>
      </c>
      <c r="O169" s="2"/>
      <c r="P169" s="13">
        <f>BIN2DEC(N169)</f>
        <v>32</v>
      </c>
      <c r="Q169" s="2" t="s">
        <v>170</v>
      </c>
      <c r="R169" s="13">
        <f>P169</f>
        <v>32</v>
      </c>
      <c r="S169" s="13" t="str">
        <f>IF(R169&lt;16,CONCATENATE("0x0",(DEC2HEX(R169))),CONCATENATE("0x",(DEC2HEX(R169))))</f>
        <v>0x20</v>
      </c>
      <c r="T169" s="5" t="str">
        <f>DEC2BIN(R169,8)</f>
        <v>00100000</v>
      </c>
    </row>
    <row r="170" spans="2:20" x14ac:dyDescent="0.25">
      <c r="E170" s="86" t="s">
        <v>200</v>
      </c>
      <c r="F170" s="87"/>
      <c r="G170" s="87"/>
      <c r="H170" s="87"/>
      <c r="I170" s="87"/>
      <c r="J170" s="87"/>
      <c r="K170" s="87"/>
      <c r="L170" s="88"/>
      <c r="M170" s="2"/>
      <c r="N170" s="3"/>
      <c r="O170" s="3"/>
      <c r="P170" s="13"/>
      <c r="Q170" s="2"/>
      <c r="R170" s="13"/>
      <c r="S170" s="13"/>
      <c r="T170" s="5"/>
    </row>
    <row r="171" spans="2:20" x14ac:dyDescent="0.25">
      <c r="E171" s="65" t="s">
        <v>173</v>
      </c>
      <c r="F171" s="65" t="s">
        <v>174</v>
      </c>
      <c r="G171" s="65" t="s">
        <v>175</v>
      </c>
      <c r="H171" s="65" t="s">
        <v>176</v>
      </c>
      <c r="I171" s="65" t="s">
        <v>177</v>
      </c>
      <c r="J171" s="65" t="s">
        <v>55</v>
      </c>
      <c r="K171" s="65" t="s">
        <v>55</v>
      </c>
      <c r="L171" s="106" t="s">
        <v>178</v>
      </c>
      <c r="M171" s="73"/>
      <c r="N171" s="35"/>
      <c r="O171" s="35"/>
      <c r="P171" s="73"/>
      <c r="Q171" s="73"/>
      <c r="R171" s="73"/>
      <c r="S171" s="73"/>
      <c r="T171" s="73"/>
    </row>
    <row r="172" spans="2:20" x14ac:dyDescent="0.25">
      <c r="E172" s="66"/>
      <c r="F172" s="66"/>
      <c r="G172" s="66"/>
      <c r="H172" s="66"/>
      <c r="I172" s="66"/>
      <c r="J172" s="66"/>
      <c r="K172" s="66"/>
      <c r="L172" s="107"/>
      <c r="M172" s="65"/>
      <c r="N172" s="35"/>
      <c r="O172" s="35"/>
      <c r="P172" s="65"/>
      <c r="Q172" s="65"/>
      <c r="R172" s="65"/>
      <c r="S172" s="65"/>
      <c r="T172" s="65"/>
    </row>
    <row r="173" spans="2:20" x14ac:dyDescent="0.25">
      <c r="B173" s="38"/>
      <c r="C173" s="38"/>
      <c r="E173" s="12">
        <v>1</v>
      </c>
      <c r="F173" s="12">
        <v>1</v>
      </c>
      <c r="G173" s="12">
        <v>1</v>
      </c>
      <c r="H173" s="12">
        <v>1</v>
      </c>
      <c r="I173" s="12">
        <v>0</v>
      </c>
      <c r="J173" s="36">
        <v>0</v>
      </c>
      <c r="K173" s="36">
        <v>0</v>
      </c>
      <c r="L173" s="12">
        <v>1</v>
      </c>
      <c r="M173" s="2"/>
      <c r="N173" s="34" t="str">
        <f>CONCATENATE(E173,F173,G173,H173,I173,"0","0",L173)</f>
        <v>11110001</v>
      </c>
      <c r="O173" s="2"/>
      <c r="P173" s="13">
        <f>BIN2DEC(N173)</f>
        <v>241</v>
      </c>
      <c r="Q173" s="2" t="s">
        <v>172</v>
      </c>
      <c r="R173" s="13">
        <f>P173</f>
        <v>241</v>
      </c>
      <c r="S173" s="13" t="str">
        <f>IF(R173&lt;16,CONCATENATE("0x0",(DEC2HEX(R173))),CONCATENATE("0x",(DEC2HEX(R173))))</f>
        <v>0xF1</v>
      </c>
      <c r="T173" s="5" t="str">
        <f>DEC2BIN(R173,8)</f>
        <v>11110001</v>
      </c>
    </row>
  </sheetData>
  <mergeCells count="272">
    <mergeCell ref="E16:L16"/>
    <mergeCell ref="S3:S4"/>
    <mergeCell ref="E12:L12"/>
    <mergeCell ref="E13:L13"/>
    <mergeCell ref="E14:L14"/>
    <mergeCell ref="E15:L15"/>
    <mergeCell ref="N3:O4"/>
    <mergeCell ref="P3:P4"/>
    <mergeCell ref="Q3:Q4"/>
    <mergeCell ref="R3:R4"/>
    <mergeCell ref="E9:L9"/>
    <mergeCell ref="E7:L7"/>
    <mergeCell ref="E8:L8"/>
    <mergeCell ref="E5:L5"/>
    <mergeCell ref="E6:L6"/>
    <mergeCell ref="E3:L4"/>
    <mergeCell ref="M3:M4"/>
    <mergeCell ref="E10:L11"/>
    <mergeCell ref="M10:M11"/>
    <mergeCell ref="N10:N11"/>
    <mergeCell ref="O10:O11"/>
    <mergeCell ref="P10:P11"/>
    <mergeCell ref="M17:M19"/>
    <mergeCell ref="N17:N19"/>
    <mergeCell ref="O17:O19"/>
    <mergeCell ref="P17:P19"/>
    <mergeCell ref="P21:P23"/>
    <mergeCell ref="E24:L24"/>
    <mergeCell ref="E25:L27"/>
    <mergeCell ref="M25:M27"/>
    <mergeCell ref="N25:N27"/>
    <mergeCell ref="O25:O27"/>
    <mergeCell ref="P25:P27"/>
    <mergeCell ref="E20:L20"/>
    <mergeCell ref="E21:L23"/>
    <mergeCell ref="M21:M23"/>
    <mergeCell ref="N21:N23"/>
    <mergeCell ref="O21:O23"/>
    <mergeCell ref="E17:L19"/>
    <mergeCell ref="E32:L32"/>
    <mergeCell ref="E33:L35"/>
    <mergeCell ref="M33:M35"/>
    <mergeCell ref="N33:N35"/>
    <mergeCell ref="O33:O35"/>
    <mergeCell ref="P33:P35"/>
    <mergeCell ref="E28:L28"/>
    <mergeCell ref="M29:M31"/>
    <mergeCell ref="E29:L31"/>
    <mergeCell ref="N29:N31"/>
    <mergeCell ref="O29:O31"/>
    <mergeCell ref="P29:P31"/>
    <mergeCell ref="E38:L38"/>
    <mergeCell ref="E39:H39"/>
    <mergeCell ref="I39:L39"/>
    <mergeCell ref="E41:L41"/>
    <mergeCell ref="E42:L42"/>
    <mergeCell ref="E40:H40"/>
    <mergeCell ref="I40:L40"/>
    <mergeCell ref="E37:L37"/>
    <mergeCell ref="E36:L36"/>
    <mergeCell ref="E49:L49"/>
    <mergeCell ref="E50:L50"/>
    <mergeCell ref="E51:L51"/>
    <mergeCell ref="E52:L52"/>
    <mergeCell ref="E43:L43"/>
    <mergeCell ref="E44:H44"/>
    <mergeCell ref="I44:L44"/>
    <mergeCell ref="E46:L46"/>
    <mergeCell ref="E47:L47"/>
    <mergeCell ref="E48:L48"/>
    <mergeCell ref="E45:H45"/>
    <mergeCell ref="I45:L45"/>
    <mergeCell ref="E55:L55"/>
    <mergeCell ref="E56:L56"/>
    <mergeCell ref="E57:L57"/>
    <mergeCell ref="E58:G58"/>
    <mergeCell ref="H58:J58"/>
    <mergeCell ref="K58:L58"/>
    <mergeCell ref="E53:G53"/>
    <mergeCell ref="E54:G54"/>
    <mergeCell ref="H53:J53"/>
    <mergeCell ref="K53:L53"/>
    <mergeCell ref="E64:G64"/>
    <mergeCell ref="E65:L65"/>
    <mergeCell ref="E66:L68"/>
    <mergeCell ref="M66:M68"/>
    <mergeCell ref="E59:G59"/>
    <mergeCell ref="E60:L60"/>
    <mergeCell ref="E61:L61"/>
    <mergeCell ref="E62:L62"/>
    <mergeCell ref="E63:G63"/>
    <mergeCell ref="H63:J63"/>
    <mergeCell ref="K63:L63"/>
    <mergeCell ref="N66:N68"/>
    <mergeCell ref="O66:O68"/>
    <mergeCell ref="P66:P68"/>
    <mergeCell ref="E69:L69"/>
    <mergeCell ref="E70:L72"/>
    <mergeCell ref="M70:M72"/>
    <mergeCell ref="N70:N72"/>
    <mergeCell ref="O70:O72"/>
    <mergeCell ref="P70:P72"/>
    <mergeCell ref="N78:N80"/>
    <mergeCell ref="O78:O80"/>
    <mergeCell ref="P78:P80"/>
    <mergeCell ref="E73:L73"/>
    <mergeCell ref="E74:L76"/>
    <mergeCell ref="M74:M76"/>
    <mergeCell ref="N74:N76"/>
    <mergeCell ref="O74:O76"/>
    <mergeCell ref="P74:P76"/>
    <mergeCell ref="T3:T4"/>
    <mergeCell ref="E91:L91"/>
    <mergeCell ref="E92:L94"/>
    <mergeCell ref="M92:M94"/>
    <mergeCell ref="O92:O94"/>
    <mergeCell ref="N92:N94"/>
    <mergeCell ref="P92:P94"/>
    <mergeCell ref="E86:L86"/>
    <mergeCell ref="E87:L87"/>
    <mergeCell ref="E88:L88"/>
    <mergeCell ref="E89:H89"/>
    <mergeCell ref="I89:L89"/>
    <mergeCell ref="E90:H90"/>
    <mergeCell ref="I90:L90"/>
    <mergeCell ref="E81:L81"/>
    <mergeCell ref="E82:L82"/>
    <mergeCell ref="E83:L83"/>
    <mergeCell ref="E84:H84"/>
    <mergeCell ref="I84:L84"/>
    <mergeCell ref="E85:H85"/>
    <mergeCell ref="I85:L85"/>
    <mergeCell ref="E77:L77"/>
    <mergeCell ref="E78:L80"/>
    <mergeCell ref="M78:M80"/>
    <mergeCell ref="P96:P98"/>
    <mergeCell ref="E99:L99"/>
    <mergeCell ref="E100:L102"/>
    <mergeCell ref="M100:M102"/>
    <mergeCell ref="N100:N102"/>
    <mergeCell ref="O100:O102"/>
    <mergeCell ref="P100:P102"/>
    <mergeCell ref="E95:L95"/>
    <mergeCell ref="E96:L98"/>
    <mergeCell ref="M96:M98"/>
    <mergeCell ref="N96:N98"/>
    <mergeCell ref="O96:O98"/>
    <mergeCell ref="E107:L107"/>
    <mergeCell ref="E108:L110"/>
    <mergeCell ref="M108:M110"/>
    <mergeCell ref="N108:N110"/>
    <mergeCell ref="O108:O110"/>
    <mergeCell ref="P108:P110"/>
    <mergeCell ref="E103:L103"/>
    <mergeCell ref="E104:L106"/>
    <mergeCell ref="M104:M106"/>
    <mergeCell ref="N104:N106"/>
    <mergeCell ref="O104:O106"/>
    <mergeCell ref="P104:P106"/>
    <mergeCell ref="E115:L115"/>
    <mergeCell ref="E116:L118"/>
    <mergeCell ref="M116:M118"/>
    <mergeCell ref="N116:N118"/>
    <mergeCell ref="O116:O118"/>
    <mergeCell ref="P116:P118"/>
    <mergeCell ref="E111:L111"/>
    <mergeCell ref="E112:L114"/>
    <mergeCell ref="M112:M114"/>
    <mergeCell ref="N112:N114"/>
    <mergeCell ref="O112:O114"/>
    <mergeCell ref="P112:P114"/>
    <mergeCell ref="M124:M126"/>
    <mergeCell ref="N124:N126"/>
    <mergeCell ref="O124:O126"/>
    <mergeCell ref="P124:P126"/>
    <mergeCell ref="E119:L119"/>
    <mergeCell ref="E120:L122"/>
    <mergeCell ref="M120:M122"/>
    <mergeCell ref="N120:N122"/>
    <mergeCell ref="O120:O122"/>
    <mergeCell ref="P120:P122"/>
    <mergeCell ref="M132:M134"/>
    <mergeCell ref="N132:N134"/>
    <mergeCell ref="O132:O134"/>
    <mergeCell ref="P132:P134"/>
    <mergeCell ref="E127:L127"/>
    <mergeCell ref="E128:L130"/>
    <mergeCell ref="M128:M130"/>
    <mergeCell ref="N128:N130"/>
    <mergeCell ref="O128:O130"/>
    <mergeCell ref="P128:P130"/>
    <mergeCell ref="N140:N142"/>
    <mergeCell ref="O140:O142"/>
    <mergeCell ref="P140:P142"/>
    <mergeCell ref="E135:L135"/>
    <mergeCell ref="E136:L138"/>
    <mergeCell ref="M136:M138"/>
    <mergeCell ref="N136:N138"/>
    <mergeCell ref="O136:O138"/>
    <mergeCell ref="P136:P138"/>
    <mergeCell ref="T167:T168"/>
    <mergeCell ref="E171:E172"/>
    <mergeCell ref="F171:F172"/>
    <mergeCell ref="G171:G172"/>
    <mergeCell ref="H171:H172"/>
    <mergeCell ref="I171:I172"/>
    <mergeCell ref="J171:J172"/>
    <mergeCell ref="K171:K172"/>
    <mergeCell ref="L171:L172"/>
    <mergeCell ref="M171:M172"/>
    <mergeCell ref="P171:P172"/>
    <mergeCell ref="Q171:Q172"/>
    <mergeCell ref="R171:R172"/>
    <mergeCell ref="S171:S172"/>
    <mergeCell ref="T171:T172"/>
    <mergeCell ref="E167:E168"/>
    <mergeCell ref="F167:F168"/>
    <mergeCell ref="G167:G168"/>
    <mergeCell ref="H167:H168"/>
    <mergeCell ref="I167:I168"/>
    <mergeCell ref="J167:J168"/>
    <mergeCell ref="K167:K168"/>
    <mergeCell ref="L167:L168"/>
    <mergeCell ref="S167:S168"/>
    <mergeCell ref="E163:L163"/>
    <mergeCell ref="E158:L158"/>
    <mergeCell ref="E159:F159"/>
    <mergeCell ref="G159:H159"/>
    <mergeCell ref="I159:J159"/>
    <mergeCell ref="K159:L159"/>
    <mergeCell ref="E160:L160"/>
    <mergeCell ref="A10:C10"/>
    <mergeCell ref="E156:L156"/>
    <mergeCell ref="E151:L151"/>
    <mergeCell ref="E152:L152"/>
    <mergeCell ref="E153:L153"/>
    <mergeCell ref="E154:H154"/>
    <mergeCell ref="I154:L154"/>
    <mergeCell ref="E155:H155"/>
    <mergeCell ref="I155:L155"/>
    <mergeCell ref="E161:F161"/>
    <mergeCell ref="G161:H161"/>
    <mergeCell ref="I161:J161"/>
    <mergeCell ref="K161:L161"/>
    <mergeCell ref="E131:L131"/>
    <mergeCell ref="E132:L134"/>
    <mergeCell ref="E123:L123"/>
    <mergeCell ref="E124:L126"/>
    <mergeCell ref="A6:C6"/>
    <mergeCell ref="A8:C9"/>
    <mergeCell ref="E166:L166"/>
    <mergeCell ref="E170:L170"/>
    <mergeCell ref="M167:M168"/>
    <mergeCell ref="P167:P168"/>
    <mergeCell ref="Q167:Q168"/>
    <mergeCell ref="R167:R168"/>
    <mergeCell ref="E147:L147"/>
    <mergeCell ref="E148:L150"/>
    <mergeCell ref="M148:M150"/>
    <mergeCell ref="N148:N150"/>
    <mergeCell ref="O148:O150"/>
    <mergeCell ref="P148:P150"/>
    <mergeCell ref="E143:L143"/>
    <mergeCell ref="E144:L146"/>
    <mergeCell ref="M144:M146"/>
    <mergeCell ref="N144:N146"/>
    <mergeCell ref="O144:O146"/>
    <mergeCell ref="P144:P146"/>
    <mergeCell ref="E139:L139"/>
    <mergeCell ref="E140:L142"/>
    <mergeCell ref="M140:M142"/>
    <mergeCell ref="E162:L162"/>
  </mergeCells>
  <pageMargins left="0.7" right="0.7" top="0.75" bottom="0.75" header="0.3" footer="0.3"/>
  <pageSetup orientation="portrait" r:id="rId1"/>
  <drawing r:id="rId2"/>
  <legacyDrawing r:id="rId3"/>
  <controls>
    <mc:AlternateContent xmlns:mc="http://schemas.openxmlformats.org/markup-compatibility/2006">
      <mc:Choice Requires="x14">
        <control shapeId="1026" r:id="rId4" name="btnGenerateFile">
          <controlPr defaultSize="0" autoLine="0" r:id="rId5">
            <anchor moveWithCells="1">
              <from>
                <xdr:col>9</xdr:col>
                <xdr:colOff>600075</xdr:colOff>
                <xdr:row>176</xdr:row>
                <xdr:rowOff>104775</xdr:rowOff>
              </from>
              <to>
                <xdr:col>13</xdr:col>
                <xdr:colOff>333375</xdr:colOff>
                <xdr:row>180</xdr:row>
                <xdr:rowOff>85725</xdr:rowOff>
              </to>
            </anchor>
          </controlPr>
        </control>
      </mc:Choice>
      <mc:Fallback>
        <control shapeId="1026" r:id="rId4" name="btnGenerateFi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100-000000000000}">
          <x14:formula1>
            <xm:f>Variables!$F$7:$F$12</xm:f>
          </x14:formula1>
          <xm:sqref>E163:L163</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340B30-A45A-4F52-B681-BB3B9C2362F2}">
  <sheetPr codeName="Sheet4"/>
  <dimension ref="A3:T173"/>
  <sheetViews>
    <sheetView workbookViewId="0">
      <pane ySplit="4" topLeftCell="A131" activePane="bottomLeft" state="frozen"/>
      <selection pane="bottomLeft" activeCell="G175" sqref="G175"/>
    </sheetView>
  </sheetViews>
  <sheetFormatPr defaultRowHeight="15" x14ac:dyDescent="0.25"/>
  <cols>
    <col min="2" max="3" width="10.5703125" customWidth="1"/>
    <col min="16" max="16" width="9.42578125" customWidth="1"/>
  </cols>
  <sheetData>
    <row r="3" spans="1:20" x14ac:dyDescent="0.25">
      <c r="E3" s="73" t="s">
        <v>9</v>
      </c>
      <c r="F3" s="73"/>
      <c r="G3" s="73"/>
      <c r="H3" s="73"/>
      <c r="I3" s="73"/>
      <c r="J3" s="73"/>
      <c r="K3" s="73"/>
      <c r="L3" s="73"/>
      <c r="M3" s="65" t="s">
        <v>10</v>
      </c>
      <c r="N3" s="73" t="s">
        <v>30</v>
      </c>
      <c r="O3" s="73"/>
      <c r="P3" s="67" t="s">
        <v>11</v>
      </c>
      <c r="Q3" s="67" t="s">
        <v>14</v>
      </c>
      <c r="R3" s="67" t="s">
        <v>11</v>
      </c>
      <c r="S3" s="67" t="s">
        <v>12</v>
      </c>
      <c r="T3" s="68" t="s">
        <v>88</v>
      </c>
    </row>
    <row r="4" spans="1:20" x14ac:dyDescent="0.25">
      <c r="E4" s="73"/>
      <c r="F4" s="73"/>
      <c r="G4" s="73"/>
      <c r="H4" s="73"/>
      <c r="I4" s="73"/>
      <c r="J4" s="73"/>
      <c r="K4" s="73"/>
      <c r="L4" s="73"/>
      <c r="M4" s="66"/>
      <c r="N4" s="73"/>
      <c r="O4" s="73"/>
      <c r="P4" s="67"/>
      <c r="Q4" s="67"/>
      <c r="R4" s="67"/>
      <c r="S4" s="67"/>
      <c r="T4" s="68"/>
    </row>
    <row r="5" spans="1:20" ht="15.75" thickBot="1" x14ac:dyDescent="0.3">
      <c r="E5" s="57" t="s">
        <v>16</v>
      </c>
      <c r="F5" s="57"/>
      <c r="G5" s="57"/>
      <c r="H5" s="57"/>
      <c r="I5" s="57"/>
      <c r="J5" s="57"/>
      <c r="K5" s="57"/>
      <c r="L5" s="57"/>
      <c r="N5" s="4"/>
      <c r="O5" s="7"/>
      <c r="P5" s="9"/>
      <c r="Q5" s="2" t="s">
        <v>15</v>
      </c>
      <c r="R5" s="13">
        <f>_xlfn.BITAND(P6,255)</f>
        <v>127</v>
      </c>
      <c r="S5" s="13" t="str">
        <f>IF(R5&lt;16,CONCATENATE("0x0",(DEC2HEX(R5))),CONCATENATE("0x",(DEC2HEX(R5))))</f>
        <v>0x7F</v>
      </c>
      <c r="T5" s="5" t="str">
        <f>DEC2BIN(R5,8)</f>
        <v>01111111</v>
      </c>
    </row>
    <row r="6" spans="1:20" ht="15.75" thickBot="1" x14ac:dyDescent="0.3">
      <c r="A6" s="69" t="s">
        <v>199</v>
      </c>
      <c r="B6" s="70"/>
      <c r="C6" s="71"/>
      <c r="E6" s="72">
        <v>4.05</v>
      </c>
      <c r="F6" s="72"/>
      <c r="G6" s="72"/>
      <c r="H6" s="72"/>
      <c r="I6" s="72"/>
      <c r="J6" s="72"/>
      <c r="K6" s="72"/>
      <c r="L6" s="72"/>
      <c r="M6" s="18" t="s">
        <v>5</v>
      </c>
      <c r="N6" s="5">
        <f>(P6*Variables!C1/Variables!C3)*Variables!C2</f>
        <v>4.049816849816855</v>
      </c>
      <c r="O6" s="2" t="s">
        <v>5</v>
      </c>
      <c r="P6" s="5">
        <f>(IF(E6&lt;0,0,IF(E6&gt;4.8,4095,ROUND((E6/Variables!F3),0))))</f>
        <v>3455</v>
      </c>
      <c r="Q6" s="25"/>
      <c r="R6" s="25"/>
      <c r="S6" s="2"/>
      <c r="T6" s="1"/>
    </row>
    <row r="7" spans="1:20" ht="15.75" thickBot="1" x14ac:dyDescent="0.3">
      <c r="E7" s="57" t="s">
        <v>0</v>
      </c>
      <c r="F7" s="57"/>
      <c r="G7" s="57"/>
      <c r="H7" s="57"/>
      <c r="I7" s="57"/>
      <c r="J7" s="57"/>
      <c r="K7" s="57"/>
      <c r="L7" s="57"/>
      <c r="N7" s="4"/>
      <c r="O7" s="8"/>
      <c r="P7" s="10"/>
      <c r="Q7" s="2" t="s">
        <v>13</v>
      </c>
      <c r="R7" s="13">
        <f>(P8*2^4)+((_xlfn.BITAND(P6,3840))/(2^8))</f>
        <v>253</v>
      </c>
      <c r="S7" s="13" t="str">
        <f>IF(R7&lt;16,CONCATENATE("0x0",(DEC2HEX(R7))),CONCATENATE("0x",(DEC2HEX(R7))))</f>
        <v>0xFD</v>
      </c>
      <c r="T7" s="5" t="str">
        <f>DEC2BIN(R7,8)</f>
        <v>11111101</v>
      </c>
    </row>
    <row r="8" spans="1:20" x14ac:dyDescent="0.25">
      <c r="A8" s="48" t="s">
        <v>198</v>
      </c>
      <c r="B8" s="49"/>
      <c r="C8" s="50"/>
      <c r="E8" s="54">
        <v>15</v>
      </c>
      <c r="F8" s="55"/>
      <c r="G8" s="55"/>
      <c r="H8" s="55"/>
      <c r="I8" s="55"/>
      <c r="J8" s="55"/>
      <c r="K8" s="55"/>
      <c r="L8" s="56"/>
      <c r="M8" s="18" t="s">
        <v>4</v>
      </c>
      <c r="N8" s="5">
        <f>(IF(E8&lt;0,0,IF(E8&gt;15,15,ROUND(E8,0))))</f>
        <v>15</v>
      </c>
      <c r="O8" s="16" t="s">
        <v>4</v>
      </c>
      <c r="P8" s="5">
        <f>N8</f>
        <v>15</v>
      </c>
      <c r="Q8" s="25"/>
      <c r="R8" s="25"/>
      <c r="S8" s="2"/>
      <c r="T8" s="1"/>
    </row>
    <row r="9" spans="1:20" ht="15.75" thickBot="1" x14ac:dyDescent="0.3">
      <c r="A9" s="51"/>
      <c r="B9" s="52"/>
      <c r="C9" s="53"/>
      <c r="E9" s="57" t="s">
        <v>17</v>
      </c>
      <c r="F9" s="57"/>
      <c r="G9" s="57"/>
      <c r="H9" s="57"/>
      <c r="I9" s="57"/>
      <c r="J9" s="57"/>
      <c r="K9" s="57"/>
      <c r="L9" s="57"/>
      <c r="M9" s="1"/>
      <c r="P9" s="1"/>
      <c r="Q9" s="2" t="s">
        <v>18</v>
      </c>
      <c r="R9" s="13">
        <f>_xlfn.BITAND(P10,255)</f>
        <v>85</v>
      </c>
      <c r="S9" s="13" t="str">
        <f>IF(R9&lt;16,CONCATENATE("0x0",(DEC2HEX(R9))),CONCATENATE("0x",(DEC2HEX(R9))))</f>
        <v>0x55</v>
      </c>
      <c r="T9" s="5" t="str">
        <f>DEC2BIN(R9,8)</f>
        <v>01010101</v>
      </c>
    </row>
    <row r="10" spans="1:20" x14ac:dyDescent="0.25">
      <c r="A10" s="58" t="s">
        <v>197</v>
      </c>
      <c r="B10" s="58"/>
      <c r="C10" s="58"/>
      <c r="E10" s="59">
        <v>4</v>
      </c>
      <c r="F10" s="60"/>
      <c r="G10" s="60"/>
      <c r="H10" s="60"/>
      <c r="I10" s="60"/>
      <c r="J10" s="60"/>
      <c r="K10" s="60"/>
      <c r="L10" s="61"/>
      <c r="M10" s="65" t="s">
        <v>5</v>
      </c>
      <c r="N10" s="76">
        <f>(P10*Variables!C1/Variables!C3)*Variables!C2</f>
        <v>4.0005860805860856</v>
      </c>
      <c r="O10" s="77" t="s">
        <v>5</v>
      </c>
      <c r="P10" s="79">
        <f>(IF(E10&lt;0,0,IF(E10&gt;4.8,4095,ROUND((E10/Variables!F3),0))))</f>
        <v>3413</v>
      </c>
      <c r="Q10" s="2"/>
      <c r="R10" s="3"/>
      <c r="S10" s="2"/>
      <c r="T10" s="1"/>
    </row>
    <row r="11" spans="1:20" x14ac:dyDescent="0.25">
      <c r="E11" s="62"/>
      <c r="F11" s="63"/>
      <c r="G11" s="63"/>
      <c r="H11" s="63"/>
      <c r="I11" s="63"/>
      <c r="J11" s="63"/>
      <c r="K11" s="63"/>
      <c r="L11" s="64"/>
      <c r="M11" s="66"/>
      <c r="N11" s="76"/>
      <c r="O11" s="78"/>
      <c r="P11" s="80"/>
      <c r="Q11" s="2" t="s">
        <v>19</v>
      </c>
      <c r="R11" s="13">
        <f>((_xlfn.BITAND(P10,3840))/(2^8))</f>
        <v>13</v>
      </c>
      <c r="S11" s="13" t="str">
        <f>IF(R11&lt;16,CONCATENATE("0x0",(DEC2HEX(R11))),CONCATENATE("0x",(DEC2HEX(R11))))</f>
        <v>0x0D</v>
      </c>
      <c r="T11" s="5" t="str">
        <f>DEC2BIN(R11,8)</f>
        <v>00001101</v>
      </c>
    </row>
    <row r="12" spans="1:20" x14ac:dyDescent="0.25">
      <c r="E12" s="57" t="s">
        <v>20</v>
      </c>
      <c r="F12" s="57"/>
      <c r="G12" s="57"/>
      <c r="H12" s="57"/>
      <c r="I12" s="57"/>
      <c r="J12" s="57"/>
      <c r="K12" s="57"/>
      <c r="L12" s="57"/>
      <c r="M12" s="4"/>
      <c r="N12" s="14"/>
      <c r="O12" s="6"/>
      <c r="P12" s="14"/>
      <c r="Q12" s="2"/>
      <c r="R12" s="3"/>
      <c r="S12" s="2"/>
      <c r="T12" s="1"/>
    </row>
    <row r="13" spans="1:20" x14ac:dyDescent="0.25">
      <c r="E13" s="72">
        <v>2.6</v>
      </c>
      <c r="F13" s="72"/>
      <c r="G13" s="72"/>
      <c r="H13" s="72"/>
      <c r="I13" s="72"/>
      <c r="J13" s="72"/>
      <c r="K13" s="72"/>
      <c r="L13" s="72"/>
      <c r="M13" s="17" t="s">
        <v>5</v>
      </c>
      <c r="N13" s="5">
        <f>(P13*Variables!C1/Variables!C3)*Variables!C2</f>
        <v>2.5998534798534831</v>
      </c>
      <c r="O13" s="2" t="s">
        <v>5</v>
      </c>
      <c r="P13" s="5">
        <f>(IF(E13&lt;0,0,IF(E13&gt;4.8,4095,ROUND((E13/Variables!F3),0))))</f>
        <v>2218</v>
      </c>
      <c r="Q13" s="2" t="s">
        <v>21</v>
      </c>
      <c r="R13" s="13">
        <f>_xlfn.BITAND(P13,255)</f>
        <v>170</v>
      </c>
      <c r="S13" s="13" t="str">
        <f>IF(R13&lt;16,CONCATENATE("0x0",(DEC2HEX(R13))),CONCATENATE("0x",(DEC2HEX(R13))))</f>
        <v>0xAA</v>
      </c>
      <c r="T13" s="5" t="str">
        <f>DEC2BIN(R13,8)</f>
        <v>10101010</v>
      </c>
    </row>
    <row r="14" spans="1:20" x14ac:dyDescent="0.25">
      <c r="E14" s="74" t="s">
        <v>23</v>
      </c>
      <c r="F14" s="74"/>
      <c r="G14" s="74"/>
      <c r="H14" s="74"/>
      <c r="I14" s="74"/>
      <c r="J14" s="74"/>
      <c r="K14" s="74"/>
      <c r="L14" s="74"/>
      <c r="M14" s="1"/>
      <c r="N14" s="15"/>
      <c r="P14" s="14"/>
      <c r="Q14" s="2"/>
      <c r="R14" s="2"/>
      <c r="S14" s="2"/>
      <c r="T14" s="1"/>
    </row>
    <row r="15" spans="1:20" x14ac:dyDescent="0.25">
      <c r="E15" s="72">
        <v>15</v>
      </c>
      <c r="F15" s="72"/>
      <c r="G15" s="72"/>
      <c r="H15" s="72"/>
      <c r="I15" s="72"/>
      <c r="J15" s="72"/>
      <c r="K15" s="72"/>
      <c r="L15" s="72"/>
      <c r="M15" s="2" t="s">
        <v>4</v>
      </c>
      <c r="N15" s="5">
        <f>(IF(E15&lt;0,0,IF(E15&gt;15,15,ROUND(E15,0))))</f>
        <v>15</v>
      </c>
      <c r="O15" s="2" t="s">
        <v>4</v>
      </c>
      <c r="P15" s="5">
        <f>N15</f>
        <v>15</v>
      </c>
      <c r="Q15" s="2" t="s">
        <v>22</v>
      </c>
      <c r="R15" s="13">
        <f>(P15*2^4)+((_xlfn.BITAND(P13,3840))/(2^8))</f>
        <v>248</v>
      </c>
      <c r="S15" s="13" t="str">
        <f>IF(R15&lt;16,CONCATENATE("0x0",(DEC2HEX(R15))),CONCATENATE("0x",(DEC2HEX(R15))))</f>
        <v>0xF8</v>
      </c>
      <c r="T15" s="5" t="str">
        <f>DEC2BIN(R15,8)</f>
        <v>11111000</v>
      </c>
    </row>
    <row r="16" spans="1:20" x14ac:dyDescent="0.25">
      <c r="E16" s="74" t="s">
        <v>24</v>
      </c>
      <c r="F16" s="74"/>
      <c r="G16" s="74"/>
      <c r="H16" s="74"/>
      <c r="I16" s="74"/>
      <c r="J16" s="74"/>
      <c r="K16" s="74"/>
      <c r="L16" s="74"/>
      <c r="M16" s="2"/>
      <c r="P16" s="14"/>
      <c r="Q16" s="3"/>
      <c r="R16" s="2"/>
      <c r="S16" s="2"/>
      <c r="T16" s="1"/>
    </row>
    <row r="17" spans="5:20" x14ac:dyDescent="0.25">
      <c r="E17" s="75">
        <v>2.8</v>
      </c>
      <c r="F17" s="75"/>
      <c r="G17" s="75"/>
      <c r="H17" s="75"/>
      <c r="I17" s="75"/>
      <c r="J17" s="75"/>
      <c r="K17" s="75"/>
      <c r="L17" s="75"/>
      <c r="M17" s="73" t="s">
        <v>5</v>
      </c>
      <c r="N17" s="76">
        <f>(P17*Variables!C1/Variables!C3)*Variables!C2</f>
        <v>2.8002930402930435</v>
      </c>
      <c r="O17" s="73" t="s">
        <v>5</v>
      </c>
      <c r="P17" s="76">
        <f>(IF(E17&lt;0,0,IF(E17&gt;4.8,4095,ROUND((E17/Variables!F3),0))))</f>
        <v>2389</v>
      </c>
      <c r="Q17" s="2" t="s">
        <v>25</v>
      </c>
      <c r="R17" s="13">
        <f>_xlfn.BITAND(P17,255)</f>
        <v>85</v>
      </c>
      <c r="S17" s="13" t="str">
        <f>IF(R17&lt;16,CONCATENATE("0x0",(DEC2HEX(R17))),CONCATENATE("0x",(DEC2HEX(R17))))</f>
        <v>0x55</v>
      </c>
      <c r="T17" s="5" t="str">
        <f>DEC2BIN(R17,8)</f>
        <v>01010101</v>
      </c>
    </row>
    <row r="18" spans="5:20" x14ac:dyDescent="0.25">
      <c r="E18" s="75"/>
      <c r="F18" s="75"/>
      <c r="G18" s="75"/>
      <c r="H18" s="75"/>
      <c r="I18" s="75"/>
      <c r="J18" s="75"/>
      <c r="K18" s="75"/>
      <c r="L18" s="75"/>
      <c r="M18" s="73"/>
      <c r="N18" s="76"/>
      <c r="O18" s="73"/>
      <c r="P18" s="76"/>
      <c r="Q18" s="2"/>
      <c r="R18" s="2"/>
      <c r="S18" s="2"/>
      <c r="T18" s="1"/>
    </row>
    <row r="19" spans="5:20" x14ac:dyDescent="0.25">
      <c r="E19" s="75"/>
      <c r="F19" s="75"/>
      <c r="G19" s="75"/>
      <c r="H19" s="75"/>
      <c r="I19" s="75"/>
      <c r="J19" s="75"/>
      <c r="K19" s="75"/>
      <c r="L19" s="75"/>
      <c r="M19" s="73"/>
      <c r="N19" s="76"/>
      <c r="O19" s="73"/>
      <c r="P19" s="76"/>
      <c r="Q19" s="2" t="s">
        <v>26</v>
      </c>
      <c r="R19" s="13">
        <f>((_xlfn.BITAND(P17,3840))/(2^8))</f>
        <v>9</v>
      </c>
      <c r="S19" s="13" t="str">
        <f>IF(R19&lt;16,CONCATENATE("0x0",(DEC2HEX(R19))),CONCATENATE("0x",(DEC2HEX(R19))))</f>
        <v>0x09</v>
      </c>
      <c r="T19" s="5" t="str">
        <f>DEC2BIN(R19,8)</f>
        <v>00001001</v>
      </c>
    </row>
    <row r="20" spans="5:20" x14ac:dyDescent="0.25">
      <c r="E20" s="57" t="s">
        <v>27</v>
      </c>
      <c r="F20" s="57"/>
      <c r="G20" s="57"/>
      <c r="H20" s="57"/>
      <c r="I20" s="57"/>
      <c r="J20" s="57"/>
      <c r="K20" s="57"/>
      <c r="L20" s="57"/>
      <c r="M20" s="1"/>
      <c r="P20" s="1"/>
      <c r="Q20" s="3"/>
      <c r="R20" s="2"/>
      <c r="S20" s="2"/>
      <c r="T20" s="1"/>
    </row>
    <row r="21" spans="5:20" x14ac:dyDescent="0.25">
      <c r="E21" s="75">
        <v>4.25</v>
      </c>
      <c r="F21" s="75"/>
      <c r="G21" s="75"/>
      <c r="H21" s="75"/>
      <c r="I21" s="75"/>
      <c r="J21" s="75"/>
      <c r="K21" s="75"/>
      <c r="L21" s="75"/>
      <c r="M21" s="73" t="s">
        <v>5</v>
      </c>
      <c r="N21" s="79">
        <f>(P21*Variables!C1/Variables!C3)*Variables!C2</f>
        <v>4.2502564102564158</v>
      </c>
      <c r="O21" s="73" t="s">
        <v>5</v>
      </c>
      <c r="P21" s="76">
        <f>(IF(E21&lt;0,0,IF(E21&gt;4.8,4095,ROUND((E21/Variables!F3),0))))</f>
        <v>3626</v>
      </c>
      <c r="Q21" s="2" t="s">
        <v>28</v>
      </c>
      <c r="R21" s="13">
        <f>_xlfn.BITAND(P21,255)</f>
        <v>42</v>
      </c>
      <c r="S21" s="13" t="str">
        <f>IF(R21&lt;16,CONCATENATE("0x0",(DEC2HEX(R21))),CONCATENATE("0x",(DEC2HEX(R21))))</f>
        <v>0x2A</v>
      </c>
      <c r="T21" s="5" t="str">
        <f>DEC2BIN(R21,8)</f>
        <v>00101010</v>
      </c>
    </row>
    <row r="22" spans="5:20" x14ac:dyDescent="0.25">
      <c r="E22" s="75"/>
      <c r="F22" s="75"/>
      <c r="G22" s="75"/>
      <c r="H22" s="75"/>
      <c r="I22" s="75"/>
      <c r="J22" s="75"/>
      <c r="K22" s="75"/>
      <c r="L22" s="75"/>
      <c r="M22" s="73"/>
      <c r="N22" s="82"/>
      <c r="O22" s="73"/>
      <c r="P22" s="76"/>
      <c r="Q22" s="2"/>
      <c r="R22" s="2"/>
      <c r="S22" s="2"/>
      <c r="T22" s="1"/>
    </row>
    <row r="23" spans="5:20" x14ac:dyDescent="0.25">
      <c r="E23" s="75"/>
      <c r="F23" s="75"/>
      <c r="G23" s="75"/>
      <c r="H23" s="75"/>
      <c r="I23" s="75"/>
      <c r="J23" s="75"/>
      <c r="K23" s="75"/>
      <c r="L23" s="75"/>
      <c r="M23" s="73"/>
      <c r="N23" s="80"/>
      <c r="O23" s="73"/>
      <c r="P23" s="76"/>
      <c r="Q23" s="2" t="s">
        <v>29</v>
      </c>
      <c r="R23" s="13">
        <f>((_xlfn.BITAND(P21,3840))/(2^8))</f>
        <v>14</v>
      </c>
      <c r="S23" s="13" t="str">
        <f>IF(R23&lt;16,CONCATENATE("0x0",(DEC2HEX(R23))),CONCATENATE("0x",(DEC2HEX(R23))))</f>
        <v>0x0E</v>
      </c>
      <c r="T23" s="5" t="str">
        <f>DEC2BIN(R23,8)</f>
        <v>00001110</v>
      </c>
    </row>
    <row r="24" spans="5:20" x14ac:dyDescent="0.25">
      <c r="E24" s="57" t="s">
        <v>31</v>
      </c>
      <c r="F24" s="57"/>
      <c r="G24" s="57"/>
      <c r="H24" s="57"/>
      <c r="I24" s="57"/>
      <c r="J24" s="57"/>
      <c r="K24" s="57"/>
      <c r="L24" s="57"/>
      <c r="M24" s="1"/>
      <c r="P24" s="1"/>
      <c r="Q24" s="2"/>
      <c r="R24" s="2"/>
      <c r="S24" s="2"/>
      <c r="T24" s="1"/>
    </row>
    <row r="25" spans="5:20" x14ac:dyDescent="0.25">
      <c r="E25" s="75">
        <v>2.5</v>
      </c>
      <c r="F25" s="75"/>
      <c r="G25" s="75"/>
      <c r="H25" s="75"/>
      <c r="I25" s="75"/>
      <c r="J25" s="75"/>
      <c r="K25" s="75"/>
      <c r="L25" s="75"/>
      <c r="M25" s="73" t="s">
        <v>5</v>
      </c>
      <c r="N25" s="76">
        <f>(P25*Variables!C1/Variables!C3)*Variables!C2</f>
        <v>2.5002197802197834</v>
      </c>
      <c r="O25" s="65" t="s">
        <v>5</v>
      </c>
      <c r="P25" s="76">
        <f>(IF(E25&lt;0,0,IF(E25&gt;4.8,4095,ROUND((E25/Variables!F3),0))))</f>
        <v>2133</v>
      </c>
      <c r="Q25" s="2" t="s">
        <v>32</v>
      </c>
      <c r="R25" s="13">
        <f>_xlfn.BITAND(P25,255)</f>
        <v>85</v>
      </c>
      <c r="S25" s="13" t="str">
        <f>IF(R25&lt;16,CONCATENATE("0x0",(DEC2HEX(R25))),CONCATENATE("0x",(DEC2HEX(R25))))</f>
        <v>0x55</v>
      </c>
      <c r="T25" s="5" t="str">
        <f>DEC2BIN(R25,8)</f>
        <v>01010101</v>
      </c>
    </row>
    <row r="26" spans="5:20" x14ac:dyDescent="0.25">
      <c r="E26" s="75"/>
      <c r="F26" s="75"/>
      <c r="G26" s="75"/>
      <c r="H26" s="75"/>
      <c r="I26" s="75"/>
      <c r="J26" s="75"/>
      <c r="K26" s="75"/>
      <c r="L26" s="75"/>
      <c r="M26" s="73"/>
      <c r="N26" s="76"/>
      <c r="O26" s="81"/>
      <c r="P26" s="76"/>
      <c r="Q26" s="2"/>
      <c r="R26" s="2"/>
      <c r="S26" s="2"/>
      <c r="T26" s="1"/>
    </row>
    <row r="27" spans="5:20" x14ac:dyDescent="0.25">
      <c r="E27" s="75"/>
      <c r="F27" s="75"/>
      <c r="G27" s="75"/>
      <c r="H27" s="75"/>
      <c r="I27" s="75"/>
      <c r="J27" s="75"/>
      <c r="K27" s="75"/>
      <c r="L27" s="75"/>
      <c r="M27" s="73"/>
      <c r="N27" s="76"/>
      <c r="O27" s="66"/>
      <c r="P27" s="76"/>
      <c r="Q27" s="2" t="s">
        <v>33</v>
      </c>
      <c r="R27" s="13">
        <f>((_xlfn.BITAND(P25,3840))/(2^8))</f>
        <v>8</v>
      </c>
      <c r="S27" s="13" t="str">
        <f>IF(R27&lt;16,CONCATENATE("0x0",(DEC2HEX(R27))),CONCATENATE("0x",(DEC2HEX(R27))))</f>
        <v>0x08</v>
      </c>
      <c r="T27" s="5" t="str">
        <f>DEC2BIN(R27,8)</f>
        <v>00001000</v>
      </c>
    </row>
    <row r="28" spans="5:20" x14ac:dyDescent="0.25">
      <c r="E28" s="57" t="s">
        <v>34</v>
      </c>
      <c r="F28" s="57"/>
      <c r="G28" s="57"/>
      <c r="H28" s="57"/>
      <c r="I28" s="57"/>
      <c r="J28" s="57"/>
      <c r="K28" s="57"/>
      <c r="L28" s="57"/>
      <c r="M28" s="1"/>
      <c r="P28" s="1"/>
      <c r="Q28" s="2"/>
      <c r="R28" s="2"/>
      <c r="S28" s="2"/>
      <c r="T28" s="1"/>
    </row>
    <row r="29" spans="5:20" x14ac:dyDescent="0.25">
      <c r="E29" s="59">
        <v>4</v>
      </c>
      <c r="F29" s="60"/>
      <c r="G29" s="60"/>
      <c r="H29" s="60"/>
      <c r="I29" s="60"/>
      <c r="J29" s="60"/>
      <c r="K29" s="60"/>
      <c r="L29" s="61"/>
      <c r="M29" s="65" t="s">
        <v>5</v>
      </c>
      <c r="N29" s="76">
        <f>(P29*Variables!C1/Variables!C3)*Variables!C2</f>
        <v>4.0005860805860856</v>
      </c>
      <c r="O29" s="73" t="s">
        <v>5</v>
      </c>
      <c r="P29" s="76">
        <f>(IF(E29&lt;0,0,IF(E29&gt;4.8,4095,ROUND((E29/Variables!F3),0))))</f>
        <v>3413</v>
      </c>
      <c r="Q29" s="2" t="s">
        <v>35</v>
      </c>
      <c r="R29" s="13">
        <f>_xlfn.BITAND(P29,255)</f>
        <v>85</v>
      </c>
      <c r="S29" s="13" t="str">
        <f>IF(R29&lt;16,CONCATENATE("0x0",(DEC2HEX(R29))),CONCATENATE("0x",(DEC2HEX(R29))))</f>
        <v>0x55</v>
      </c>
      <c r="T29" s="5" t="str">
        <f>DEC2BIN(R29,8)</f>
        <v>01010101</v>
      </c>
    </row>
    <row r="30" spans="5:20" x14ac:dyDescent="0.25">
      <c r="E30" s="83"/>
      <c r="F30" s="84"/>
      <c r="G30" s="84"/>
      <c r="H30" s="84"/>
      <c r="I30" s="84"/>
      <c r="J30" s="84"/>
      <c r="K30" s="84"/>
      <c r="L30" s="85"/>
      <c r="M30" s="81"/>
      <c r="N30" s="76"/>
      <c r="O30" s="73"/>
      <c r="P30" s="76"/>
      <c r="Q30" s="2"/>
      <c r="R30" s="2"/>
      <c r="S30" s="2"/>
      <c r="T30" s="1"/>
    </row>
    <row r="31" spans="5:20" x14ac:dyDescent="0.25">
      <c r="E31" s="62"/>
      <c r="F31" s="63"/>
      <c r="G31" s="63"/>
      <c r="H31" s="63"/>
      <c r="I31" s="63"/>
      <c r="J31" s="63"/>
      <c r="K31" s="63"/>
      <c r="L31" s="64"/>
      <c r="M31" s="66"/>
      <c r="N31" s="76"/>
      <c r="O31" s="73"/>
      <c r="P31" s="76"/>
      <c r="Q31" s="2" t="s">
        <v>38</v>
      </c>
      <c r="R31" s="13">
        <f>((_xlfn.BITAND(P29,3840))/(2^8))</f>
        <v>13</v>
      </c>
      <c r="S31" s="13" t="str">
        <f>IF(R31&lt;16,CONCATENATE("0x0",(DEC2HEX(R31))),CONCATENATE("0x",(DEC2HEX(R31))))</f>
        <v>0x0D</v>
      </c>
      <c r="T31" s="5" t="str">
        <f>DEC2BIN(R31,8)</f>
        <v>00001101</v>
      </c>
    </row>
    <row r="32" spans="5:20" x14ac:dyDescent="0.25">
      <c r="E32" s="57" t="s">
        <v>36</v>
      </c>
      <c r="F32" s="57"/>
      <c r="G32" s="57"/>
      <c r="H32" s="57"/>
      <c r="I32" s="57"/>
      <c r="J32" s="57"/>
      <c r="K32" s="57"/>
      <c r="L32" s="57"/>
      <c r="M32" s="1"/>
      <c r="P32" s="1"/>
      <c r="Q32" s="2"/>
      <c r="R32" s="2"/>
      <c r="S32" s="2"/>
      <c r="T32" s="1"/>
    </row>
    <row r="33" spans="5:20" x14ac:dyDescent="0.25">
      <c r="E33" s="75">
        <v>2.7</v>
      </c>
      <c r="F33" s="75"/>
      <c r="G33" s="75"/>
      <c r="H33" s="75"/>
      <c r="I33" s="75"/>
      <c r="J33" s="75"/>
      <c r="K33" s="75"/>
      <c r="L33" s="75"/>
      <c r="M33" s="73" t="s">
        <v>5</v>
      </c>
      <c r="N33" s="76">
        <f>(P33*Variables!C1/Variables!C3)*Variables!C2</f>
        <v>2.6994871794871829</v>
      </c>
      <c r="O33" s="73" t="s">
        <v>5</v>
      </c>
      <c r="P33" s="76">
        <f>(IF(E33&lt;0,0,IF(E33&gt;4.8,4095,ROUND((E33/Variables!F3),0))))</f>
        <v>2303</v>
      </c>
      <c r="Q33" s="2" t="s">
        <v>37</v>
      </c>
      <c r="R33" s="13">
        <f>_xlfn.BITAND(P33,255)</f>
        <v>255</v>
      </c>
      <c r="S33" s="13" t="str">
        <f>IF(R33&lt;16,CONCATENATE("0x0",(DEC2HEX(R33))),CONCATENATE("0x",(DEC2HEX(R33))))</f>
        <v>0xFF</v>
      </c>
      <c r="T33" s="5" t="str">
        <f>DEC2BIN(R33,8)</f>
        <v>11111111</v>
      </c>
    </row>
    <row r="34" spans="5:20" x14ac:dyDescent="0.25">
      <c r="E34" s="75"/>
      <c r="F34" s="75"/>
      <c r="G34" s="75"/>
      <c r="H34" s="75"/>
      <c r="I34" s="75"/>
      <c r="J34" s="75"/>
      <c r="K34" s="75"/>
      <c r="L34" s="75"/>
      <c r="M34" s="73"/>
      <c r="N34" s="76"/>
      <c r="O34" s="73"/>
      <c r="P34" s="76"/>
      <c r="Q34" s="2"/>
      <c r="R34" s="2"/>
      <c r="S34" s="2"/>
      <c r="T34" s="1"/>
    </row>
    <row r="35" spans="5:20" x14ac:dyDescent="0.25">
      <c r="E35" s="75"/>
      <c r="F35" s="75"/>
      <c r="G35" s="75"/>
      <c r="H35" s="75"/>
      <c r="I35" s="75"/>
      <c r="J35" s="75"/>
      <c r="K35" s="75"/>
      <c r="L35" s="75"/>
      <c r="M35" s="73"/>
      <c r="N35" s="76"/>
      <c r="O35" s="73"/>
      <c r="P35" s="76"/>
      <c r="Q35" s="2" t="s">
        <v>39</v>
      </c>
      <c r="R35" s="13">
        <f>((_xlfn.BITAND(P33,3840))/(2^8))</f>
        <v>8</v>
      </c>
      <c r="S35" s="13" t="str">
        <f>IF(R35&lt;16,CONCATENATE("0x0",(DEC2HEX(R35))),CONCATENATE("0x",(DEC2HEX(R35))))</f>
        <v>0x08</v>
      </c>
      <c r="T35" s="5" t="str">
        <f>DEC2BIN(R35,8)</f>
        <v>00001000</v>
      </c>
    </row>
    <row r="36" spans="5:20" x14ac:dyDescent="0.25">
      <c r="E36" s="57" t="s">
        <v>42</v>
      </c>
      <c r="F36" s="57"/>
      <c r="G36" s="57"/>
      <c r="H36" s="57"/>
      <c r="I36" s="57"/>
      <c r="J36" s="57"/>
      <c r="K36" s="57"/>
      <c r="L36" s="57"/>
      <c r="M36" s="1"/>
      <c r="P36" s="1"/>
      <c r="Q36" s="2"/>
      <c r="R36" s="2"/>
      <c r="S36" s="2"/>
      <c r="T36" s="1"/>
    </row>
    <row r="37" spans="5:20" x14ac:dyDescent="0.25">
      <c r="E37" s="54">
        <v>5</v>
      </c>
      <c r="F37" s="55"/>
      <c r="G37" s="55"/>
      <c r="H37" s="55"/>
      <c r="I37" s="55"/>
      <c r="J37" s="55"/>
      <c r="K37" s="55"/>
      <c r="L37" s="56"/>
      <c r="M37" s="16"/>
      <c r="N37" s="22">
        <f>IF(E37&lt;0,"0",IF(E37&gt;1024,"1024",ROUND(E37,0)))</f>
        <v>5</v>
      </c>
      <c r="O37" s="22" t="str">
        <f>N40</f>
        <v>s</v>
      </c>
      <c r="P37" s="23">
        <f>N37</f>
        <v>5</v>
      </c>
      <c r="Q37" s="2" t="s">
        <v>41</v>
      </c>
      <c r="R37" s="13">
        <f>_xlfn.BITAND(P37,255)</f>
        <v>5</v>
      </c>
      <c r="S37" s="13" t="str">
        <f>IF(R37&lt;16,CONCATENATE("0x0",(DEC2HEX(R37))),CONCATENATE("0x",(DEC2HEX(R37))))</f>
        <v>0x05</v>
      </c>
      <c r="T37" s="5" t="str">
        <f>DEC2BIN(R37,8)</f>
        <v>00000101</v>
      </c>
    </row>
    <row r="38" spans="5:20" x14ac:dyDescent="0.25">
      <c r="E38" s="89" t="s">
        <v>40</v>
      </c>
      <c r="F38" s="90"/>
      <c r="G38" s="90"/>
      <c r="H38" s="90"/>
      <c r="I38" s="90"/>
      <c r="J38" s="90"/>
      <c r="K38" s="90"/>
      <c r="L38" s="91"/>
      <c r="M38" s="11"/>
      <c r="P38" s="11"/>
      <c r="Q38" s="24"/>
      <c r="R38" s="24"/>
      <c r="S38" s="24"/>
      <c r="T38" s="1"/>
    </row>
    <row r="39" spans="5:20" x14ac:dyDescent="0.25">
      <c r="E39" s="86" t="s">
        <v>45</v>
      </c>
      <c r="F39" s="87"/>
      <c r="G39" s="87"/>
      <c r="H39" s="88"/>
      <c r="I39" s="86" t="s">
        <v>46</v>
      </c>
      <c r="J39" s="87"/>
      <c r="K39" s="87"/>
      <c r="L39" s="88"/>
      <c r="M39" s="1"/>
      <c r="P39" s="1"/>
      <c r="Q39" s="2" t="s">
        <v>43</v>
      </c>
      <c r="R39" s="13">
        <f>(P40*4)+((_xlfn.BITAND(P37,768)/2^8))</f>
        <v>8</v>
      </c>
      <c r="S39" s="13" t="str">
        <f>IF(R39&lt;16,CONCATENATE("0x0",(DEC2HEX(R39))),CONCATENATE("0x",(DEC2HEX(R39))))</f>
        <v>0x08</v>
      </c>
      <c r="T39" s="5" t="str">
        <f>DEC2BIN(R39,8)</f>
        <v>00001000</v>
      </c>
    </row>
    <row r="40" spans="5:20" x14ac:dyDescent="0.25">
      <c r="E40" s="54">
        <v>1</v>
      </c>
      <c r="F40" s="55"/>
      <c r="G40" s="55"/>
      <c r="H40" s="56"/>
      <c r="I40" s="72">
        <v>0</v>
      </c>
      <c r="J40" s="72"/>
      <c r="K40" s="72"/>
      <c r="L40" s="72"/>
      <c r="M40" s="21"/>
      <c r="N40" s="13" t="str">
        <f>IF(((E40*2 +I40) = 3),"min",IF((E40*2+I40 = 2), "s",IF((E40*2+I40=1),"ms","us")))</f>
        <v>s</v>
      </c>
      <c r="O40" s="16"/>
      <c r="P40" s="22">
        <f>IF(N40="min",3,IF(N40="s",2,IF(N40="ms",1,0)))</f>
        <v>2</v>
      </c>
      <c r="Q40" s="2"/>
      <c r="R40" s="2"/>
      <c r="S40" s="2"/>
      <c r="T40" s="1"/>
    </row>
    <row r="41" spans="5:20" x14ac:dyDescent="0.25">
      <c r="E41" s="57" t="s">
        <v>201</v>
      </c>
      <c r="F41" s="57"/>
      <c r="G41" s="57"/>
      <c r="H41" s="57"/>
      <c r="I41" s="57"/>
      <c r="J41" s="57"/>
      <c r="K41" s="57"/>
      <c r="L41" s="57"/>
      <c r="M41" s="11"/>
      <c r="P41" s="11"/>
      <c r="Q41" s="24" t="s">
        <v>44</v>
      </c>
      <c r="R41" s="13">
        <f>_xlfn.BITAND(P42,255)</f>
        <v>5</v>
      </c>
      <c r="S41" s="13" t="str">
        <f>IF(R41&lt;16,CONCATENATE("0x0",(DEC2HEX(R41))),CONCATENATE("0x",(DEC2HEX(R41))))</f>
        <v>0x05</v>
      </c>
      <c r="T41" s="5" t="str">
        <f>DEC2BIN(R41,8)</f>
        <v>00000101</v>
      </c>
    </row>
    <row r="42" spans="5:20" x14ac:dyDescent="0.25">
      <c r="E42" s="72">
        <v>5</v>
      </c>
      <c r="F42" s="72"/>
      <c r="G42" s="72"/>
      <c r="H42" s="72"/>
      <c r="I42" s="72"/>
      <c r="J42" s="72"/>
      <c r="K42" s="72"/>
      <c r="L42" s="72"/>
      <c r="M42" s="16"/>
      <c r="N42" s="22">
        <f>IF(E42&lt;0,"0",IF(E42&gt;1024,"1024",ROUND(E42,0)))</f>
        <v>5</v>
      </c>
      <c r="O42" s="16"/>
      <c r="P42" s="22">
        <f>N42</f>
        <v>5</v>
      </c>
      <c r="Q42" s="2"/>
      <c r="R42" s="2"/>
      <c r="S42" s="2"/>
      <c r="T42" s="1"/>
    </row>
    <row r="43" spans="5:20" x14ac:dyDescent="0.25">
      <c r="E43" s="57" t="s">
        <v>180</v>
      </c>
      <c r="F43" s="57"/>
      <c r="G43" s="57"/>
      <c r="H43" s="57"/>
      <c r="I43" s="57"/>
      <c r="J43" s="57"/>
      <c r="K43" s="57"/>
      <c r="L43" s="57"/>
      <c r="M43" s="11"/>
      <c r="P43" s="11"/>
      <c r="Q43" s="2" t="s">
        <v>47</v>
      </c>
      <c r="R43" s="13">
        <f>(P45*4)+((_xlfn.BITAND(P42,768)/2^8))</f>
        <v>8</v>
      </c>
      <c r="S43" s="13" t="str">
        <f>IF(R43&lt;16,CONCATENATE("0x0",(DEC2HEX(R43))),CONCATENATE("0x",(DEC2HEX(R43))))</f>
        <v>0x08</v>
      </c>
      <c r="T43" s="5" t="str">
        <f>DEC2BIN(R43,8)</f>
        <v>00001000</v>
      </c>
    </row>
    <row r="44" spans="5:20" x14ac:dyDescent="0.25">
      <c r="E44" s="86" t="s">
        <v>82</v>
      </c>
      <c r="F44" s="87"/>
      <c r="G44" s="87"/>
      <c r="H44" s="88"/>
      <c r="I44" s="86" t="s">
        <v>179</v>
      </c>
      <c r="J44" s="87"/>
      <c r="K44" s="87"/>
      <c r="L44" s="88"/>
      <c r="M44" s="11"/>
      <c r="P44" s="11"/>
      <c r="Q44" s="2"/>
      <c r="R44" s="2"/>
      <c r="S44" s="2"/>
      <c r="T44" s="1"/>
    </row>
    <row r="45" spans="5:20" x14ac:dyDescent="0.25">
      <c r="E45" s="75">
        <v>1</v>
      </c>
      <c r="F45" s="75"/>
      <c r="G45" s="75"/>
      <c r="H45" s="75"/>
      <c r="I45" s="75">
        <v>0</v>
      </c>
      <c r="J45" s="75"/>
      <c r="K45" s="75"/>
      <c r="L45" s="75"/>
      <c r="M45" s="16"/>
      <c r="N45" s="22" t="str">
        <f>IF(((E45*2 +I45) = 3),"min",IF((E45*2+I45 = 2), "s",IF((E45*2+I45=1),"ms","us")))</f>
        <v>s</v>
      </c>
      <c r="O45" s="16"/>
      <c r="P45" s="22">
        <f>IF(N45="min",3,IF(N45="s",2,IF(N45="ms",1,0)))</f>
        <v>2</v>
      </c>
      <c r="Q45" s="16"/>
      <c r="R45" s="16"/>
      <c r="S45" s="16"/>
      <c r="T45" s="1"/>
    </row>
    <row r="46" spans="5:20" x14ac:dyDescent="0.25">
      <c r="E46" s="57" t="s">
        <v>49</v>
      </c>
      <c r="F46" s="57"/>
      <c r="G46" s="57"/>
      <c r="H46" s="57"/>
      <c r="I46" s="57"/>
      <c r="J46" s="57"/>
      <c r="K46" s="57"/>
      <c r="L46" s="57"/>
      <c r="M46" s="11"/>
      <c r="P46" s="11"/>
      <c r="Q46" s="24" t="s">
        <v>48</v>
      </c>
      <c r="R46" s="26">
        <f>_xlfn.BITAND(P47,255)</f>
        <v>100</v>
      </c>
      <c r="S46" s="26" t="str">
        <f>IF(R46&lt;16,CONCATENATE("0x0",(DEC2HEX(R46))),CONCATENATE("0x",(DEC2HEX(R46))))</f>
        <v>0x64</v>
      </c>
      <c r="T46" s="5" t="str">
        <f>DEC2BIN(R46,8)</f>
        <v>01100100</v>
      </c>
    </row>
    <row r="47" spans="5:20" x14ac:dyDescent="0.25">
      <c r="E47" s="97">
        <v>100</v>
      </c>
      <c r="F47" s="97"/>
      <c r="G47" s="97"/>
      <c r="H47" s="97"/>
      <c r="I47" s="97"/>
      <c r="J47" s="97"/>
      <c r="K47" s="97"/>
      <c r="L47" s="97"/>
      <c r="M47" s="16"/>
      <c r="N47" s="22">
        <f>IF(E47&lt;0, "0", IF(E47 &gt; 511, "511",ROUND(E47,0)))</f>
        <v>100</v>
      </c>
      <c r="O47" s="22" t="str">
        <f>N49</f>
        <v>ms</v>
      </c>
      <c r="P47" s="22">
        <f>N47</f>
        <v>100</v>
      </c>
      <c r="Q47" s="2"/>
      <c r="R47" s="2"/>
      <c r="S47" s="2"/>
      <c r="T47" s="1"/>
    </row>
    <row r="48" spans="5:20" x14ac:dyDescent="0.25">
      <c r="E48" s="98" t="s">
        <v>50</v>
      </c>
      <c r="F48" s="98"/>
      <c r="G48" s="98"/>
      <c r="H48" s="98"/>
      <c r="I48" s="98"/>
      <c r="J48" s="98"/>
      <c r="K48" s="98"/>
      <c r="L48" s="98"/>
      <c r="M48" s="11"/>
      <c r="P48" s="11"/>
      <c r="Q48" s="2" t="s">
        <v>51</v>
      </c>
      <c r="R48" s="13">
        <f>(P49*2)+((_xlfn.BITAND(P47,256)/2^8))</f>
        <v>2</v>
      </c>
      <c r="S48" s="13" t="str">
        <f>IF(R48&lt;16,CONCATENATE("0x0",(DEC2HEX(R48))),CONCATENATE("0x",(DEC2HEX(R48))))</f>
        <v>0x02</v>
      </c>
      <c r="T48" s="5" t="str">
        <f>DEC2BIN(R48,8)</f>
        <v>00000010</v>
      </c>
    </row>
    <row r="49" spans="5:20" x14ac:dyDescent="0.25">
      <c r="E49" s="72">
        <v>1</v>
      </c>
      <c r="F49" s="72"/>
      <c r="G49" s="72"/>
      <c r="H49" s="72"/>
      <c r="I49" s="72"/>
      <c r="J49" s="72"/>
      <c r="K49" s="72"/>
      <c r="L49" s="72"/>
      <c r="M49" s="20"/>
      <c r="N49" s="13" t="str">
        <f>IF((E49=1),"ms","us")</f>
        <v>ms</v>
      </c>
      <c r="O49" s="2"/>
      <c r="P49" s="13">
        <f>IF(N49="ms",1,0)</f>
        <v>1</v>
      </c>
      <c r="Q49" s="2"/>
      <c r="R49" s="2"/>
      <c r="S49" s="2"/>
      <c r="T49" s="1"/>
    </row>
    <row r="50" spans="5:20" x14ac:dyDescent="0.25">
      <c r="E50" s="99" t="s">
        <v>52</v>
      </c>
      <c r="F50" s="99"/>
      <c r="G50" s="99"/>
      <c r="H50" s="99"/>
      <c r="I50" s="99"/>
      <c r="J50" s="99"/>
      <c r="K50" s="99"/>
      <c r="L50" s="99"/>
      <c r="P50" s="1"/>
      <c r="Q50" s="1"/>
      <c r="R50" s="1"/>
      <c r="S50" s="1"/>
      <c r="T50" s="1"/>
    </row>
    <row r="51" spans="5:20" x14ac:dyDescent="0.25">
      <c r="E51" s="100">
        <v>5</v>
      </c>
      <c r="F51" s="100"/>
      <c r="G51" s="100"/>
      <c r="H51" s="100"/>
      <c r="I51" s="100"/>
      <c r="J51" s="100"/>
      <c r="K51" s="100"/>
      <c r="L51" s="100"/>
      <c r="M51" s="16"/>
      <c r="N51" s="22">
        <f>IF(E51&lt;0, "0", IF(E51 &gt; 1024, "1024",ROUND(E51,0)))</f>
        <v>5</v>
      </c>
      <c r="O51" s="22" t="str">
        <f>N53</f>
        <v>s</v>
      </c>
      <c r="P51" s="23">
        <f>N51</f>
        <v>5</v>
      </c>
      <c r="Q51" s="2" t="s">
        <v>53</v>
      </c>
      <c r="R51" s="13">
        <f>_xlfn.BITAND(P51,255)</f>
        <v>5</v>
      </c>
      <c r="S51" s="13" t="str">
        <f>IF(R51&lt;16,CONCATENATE("0x0",(DEC2HEX(R51))),CONCATENATE("0x",(DEC2HEX(R51))))</f>
        <v>0x05</v>
      </c>
      <c r="T51" s="5" t="str">
        <f>DEC2BIN(R51,8)</f>
        <v>00000101</v>
      </c>
    </row>
    <row r="52" spans="5:20" x14ac:dyDescent="0.25">
      <c r="E52" s="57" t="s">
        <v>54</v>
      </c>
      <c r="F52" s="57"/>
      <c r="G52" s="57"/>
      <c r="H52" s="57"/>
      <c r="I52" s="57"/>
      <c r="J52" s="57"/>
      <c r="K52" s="57"/>
      <c r="L52" s="57"/>
      <c r="M52" s="1"/>
      <c r="P52" s="1"/>
      <c r="Q52" s="2"/>
      <c r="R52" s="2"/>
      <c r="S52" s="2"/>
      <c r="T52" s="1"/>
    </row>
    <row r="53" spans="5:20" x14ac:dyDescent="0.25">
      <c r="E53" s="92" t="s">
        <v>55</v>
      </c>
      <c r="F53" s="93"/>
      <c r="G53" s="93"/>
      <c r="H53" s="57" t="s">
        <v>56</v>
      </c>
      <c r="I53" s="57"/>
      <c r="J53" s="57"/>
      <c r="K53" s="86" t="s">
        <v>10</v>
      </c>
      <c r="L53" s="88"/>
      <c r="M53" s="20" t="s">
        <v>10</v>
      </c>
      <c r="N53" s="13" t="str">
        <f>IF(((K54*2 +L54) = 3),"min",IF((K54*2+L54 = 2), "s",IF((K54*2+L54=1),"ms","us")))</f>
        <v>s</v>
      </c>
      <c r="O53" s="2"/>
      <c r="P53" s="1"/>
      <c r="Q53" s="2" t="s">
        <v>59</v>
      </c>
      <c r="R53" s="13">
        <f>(P54*4)+((_xlfn.BITAND(P51,768)/2^8))</f>
        <v>88</v>
      </c>
      <c r="S53" s="13" t="str">
        <f>IF(R53&lt;16,CONCATENATE("0x0",(DEC2HEX(R53))),CONCATENATE("0x",(DEC2HEX(R53))))</f>
        <v>0x58</v>
      </c>
      <c r="T53" s="5" t="str">
        <f>DEC2BIN(R53,8)</f>
        <v>01011000</v>
      </c>
    </row>
    <row r="54" spans="5:20" x14ac:dyDescent="0.25">
      <c r="E54" s="94"/>
      <c r="F54" s="95"/>
      <c r="G54" s="96"/>
      <c r="H54" s="12">
        <v>1</v>
      </c>
      <c r="I54" s="12">
        <v>0</v>
      </c>
      <c r="J54" s="12">
        <v>1</v>
      </c>
      <c r="K54" s="12">
        <v>1</v>
      </c>
      <c r="L54" s="12">
        <v>0</v>
      </c>
      <c r="M54" s="20" t="s">
        <v>57</v>
      </c>
      <c r="N54" s="13">
        <f>IF(AND(H54 = 0,I54=0,J54=0), 4,IF(AND(H54 = 0,I54=0,J54=1),8,IF(AND(H54 = 0,I54=1,J54=0),16,IF(AND(H54 = 0,I54=1,J54=1),24,IF(AND(H54 = 1,I54=0,J54=0),32,IF(AND(H54 = 1,I54=0,J54=1),48,IF(AND(H54 = 1,I54=1,J54=0),64,IF(AND(H54 = 1,I54=1,J54=1),96,"false"))))))))</f>
        <v>48</v>
      </c>
      <c r="O54" s="2" t="s">
        <v>58</v>
      </c>
      <c r="P54" s="5">
        <f>BIN2DEC(CONCATENATE(H54,I54,J54,K54,L54))</f>
        <v>22</v>
      </c>
      <c r="Q54" s="2"/>
      <c r="R54" s="2"/>
      <c r="S54" s="2"/>
      <c r="T54" s="1"/>
    </row>
    <row r="55" spans="5:20" x14ac:dyDescent="0.25">
      <c r="E55" s="57" t="s">
        <v>60</v>
      </c>
      <c r="F55" s="57"/>
      <c r="G55" s="57"/>
      <c r="H55" s="57"/>
      <c r="I55" s="57"/>
      <c r="J55" s="57"/>
      <c r="K55" s="57"/>
      <c r="L55" s="57"/>
      <c r="P55" s="1"/>
      <c r="Q55" s="1"/>
      <c r="R55" s="1"/>
      <c r="S55" s="1"/>
      <c r="T55" s="1"/>
    </row>
    <row r="56" spans="5:20" x14ac:dyDescent="0.25">
      <c r="E56" s="72">
        <v>5</v>
      </c>
      <c r="F56" s="72"/>
      <c r="G56" s="72"/>
      <c r="H56" s="72"/>
      <c r="I56" s="72"/>
      <c r="J56" s="72"/>
      <c r="K56" s="72"/>
      <c r="L56" s="72"/>
      <c r="M56" s="16"/>
      <c r="N56" s="22">
        <f>IF(E56&lt;0, "0", IF(E56 &gt; 1024, "1024",ROUND(E56,0)))</f>
        <v>5</v>
      </c>
      <c r="O56" s="22" t="str">
        <f>N58</f>
        <v>s</v>
      </c>
      <c r="P56" s="23">
        <f>N56</f>
        <v>5</v>
      </c>
      <c r="Q56" s="2" t="s">
        <v>64</v>
      </c>
      <c r="R56" s="13">
        <f>_xlfn.BITAND(P56,255)</f>
        <v>5</v>
      </c>
      <c r="S56" s="13" t="str">
        <f>IF(R56&lt;16,CONCATENATE("0x0",(DEC2HEX(R56))),CONCATENATE("0x",(DEC2HEX(R56))))</f>
        <v>0x05</v>
      </c>
      <c r="T56" s="5" t="str">
        <f>DEC2BIN(R56,8)</f>
        <v>00000101</v>
      </c>
    </row>
    <row r="57" spans="5:20" x14ac:dyDescent="0.25">
      <c r="E57" s="57" t="s">
        <v>61</v>
      </c>
      <c r="F57" s="57"/>
      <c r="G57" s="57"/>
      <c r="H57" s="57"/>
      <c r="I57" s="57"/>
      <c r="J57" s="57"/>
      <c r="K57" s="57"/>
      <c r="L57" s="57"/>
      <c r="M57" s="1"/>
      <c r="P57" s="1"/>
      <c r="Q57" s="2"/>
      <c r="R57" s="2"/>
      <c r="S57" s="2"/>
      <c r="T57" s="1"/>
    </row>
    <row r="58" spans="5:20" x14ac:dyDescent="0.25">
      <c r="E58" s="92" t="s">
        <v>55</v>
      </c>
      <c r="F58" s="93"/>
      <c r="G58" s="93"/>
      <c r="H58" s="57" t="s">
        <v>56</v>
      </c>
      <c r="I58" s="57"/>
      <c r="J58" s="57"/>
      <c r="K58" s="86" t="s">
        <v>10</v>
      </c>
      <c r="L58" s="88"/>
      <c r="M58" s="20" t="s">
        <v>10</v>
      </c>
      <c r="N58" s="13" t="str">
        <f>IF(((K59*2 +L59) = 3),"min",IF((K59*2+L59 = 2), "s",IF((K59*2+L59=1),"ms","us")))</f>
        <v>s</v>
      </c>
      <c r="O58" s="2"/>
      <c r="P58" s="1"/>
      <c r="Q58" s="2" t="s">
        <v>65</v>
      </c>
      <c r="R58" s="13">
        <f>(P59*4)+((_xlfn.BITAND(P56,768)/2^8))</f>
        <v>104</v>
      </c>
      <c r="S58" s="13" t="str">
        <f>IF(R58&lt;16,CONCATENATE("0x0",(DEC2HEX(R58))),CONCATENATE("0x",(DEC2HEX(R58))))</f>
        <v>0x68</v>
      </c>
      <c r="T58" s="5" t="str">
        <f>DEC2BIN(R58,8)</f>
        <v>01101000</v>
      </c>
    </row>
    <row r="59" spans="5:20" x14ac:dyDescent="0.25">
      <c r="E59" s="94"/>
      <c r="F59" s="95"/>
      <c r="G59" s="96"/>
      <c r="H59" s="12">
        <v>1</v>
      </c>
      <c r="I59" s="12">
        <v>1</v>
      </c>
      <c r="J59" s="12">
        <v>0</v>
      </c>
      <c r="K59" s="12">
        <v>1</v>
      </c>
      <c r="L59" s="12">
        <v>0</v>
      </c>
      <c r="M59" s="20" t="s">
        <v>57</v>
      </c>
      <c r="N59" s="13">
        <f>IF(AND(H59 = 0,I59=0,J59=0), 1,IF(AND(H59 = 0,I59=0,J59=1),2,IF(AND(H59 = 0,I59=1,J59=0),4,IF(AND(H59 = 0,I59=1,J59=1),6,IF(AND(H59 = 1,I59=0,J59=0),8,IF(AND(H59 = 1,I59=0,J59=1),12,IF(AND(H59 = 1,I59=1,J59=0),16,IF(AND(H59 = 1,I59=1,J59=1),24,"false"))))))))</f>
        <v>16</v>
      </c>
      <c r="O59" s="2" t="s">
        <v>58</v>
      </c>
      <c r="P59" s="5">
        <f>BIN2DEC(CONCATENATE(H59,I59,J59,K59,L59))</f>
        <v>26</v>
      </c>
      <c r="Q59" s="2"/>
      <c r="R59" s="2"/>
      <c r="S59" s="2"/>
      <c r="T59" s="1"/>
    </row>
    <row r="60" spans="5:20" x14ac:dyDescent="0.25">
      <c r="E60" s="57" t="s">
        <v>62</v>
      </c>
      <c r="F60" s="57"/>
      <c r="G60" s="57"/>
      <c r="H60" s="57"/>
      <c r="I60" s="57"/>
      <c r="J60" s="57"/>
      <c r="K60" s="57"/>
      <c r="L60" s="57"/>
      <c r="P60" s="1"/>
      <c r="Q60" s="1"/>
      <c r="R60" s="1"/>
      <c r="S60" s="1"/>
      <c r="T60" s="1"/>
    </row>
    <row r="61" spans="5:20" x14ac:dyDescent="0.25">
      <c r="E61" s="72">
        <v>100</v>
      </c>
      <c r="F61" s="72"/>
      <c r="G61" s="72"/>
      <c r="H61" s="72"/>
      <c r="I61" s="72"/>
      <c r="J61" s="72"/>
      <c r="K61" s="72"/>
      <c r="L61" s="72"/>
      <c r="M61" s="16"/>
      <c r="N61" s="22">
        <f>IF(E61&lt;0, "0", IF(E61 &gt; 1024, "1024",ROUND(E61,0)))</f>
        <v>100</v>
      </c>
      <c r="O61" s="22" t="str">
        <f>N63</f>
        <v>ms</v>
      </c>
      <c r="P61" s="23">
        <f>N61</f>
        <v>100</v>
      </c>
      <c r="Q61" s="2" t="s">
        <v>66</v>
      </c>
      <c r="R61" s="13">
        <f>_xlfn.BITAND(P61,255)</f>
        <v>100</v>
      </c>
      <c r="S61" s="13" t="str">
        <f>IF(R61&lt;16,CONCATENATE("0x0",(DEC2HEX(R61))),CONCATENATE("0x",(DEC2HEX(R61))))</f>
        <v>0x64</v>
      </c>
      <c r="T61" s="5" t="str">
        <f>DEC2BIN(R61,8)</f>
        <v>01100100</v>
      </c>
    </row>
    <row r="62" spans="5:20" x14ac:dyDescent="0.25">
      <c r="E62" s="57" t="s">
        <v>63</v>
      </c>
      <c r="F62" s="57"/>
      <c r="G62" s="57"/>
      <c r="H62" s="57"/>
      <c r="I62" s="57"/>
      <c r="J62" s="57"/>
      <c r="K62" s="57"/>
      <c r="L62" s="57"/>
      <c r="M62" s="1"/>
      <c r="P62" s="1"/>
      <c r="Q62" s="2"/>
      <c r="R62" s="2"/>
      <c r="S62" s="2"/>
      <c r="T62" s="1"/>
    </row>
    <row r="63" spans="5:20" x14ac:dyDescent="0.25">
      <c r="E63" s="92" t="s">
        <v>55</v>
      </c>
      <c r="F63" s="93"/>
      <c r="G63" s="93"/>
      <c r="H63" s="57" t="s">
        <v>56</v>
      </c>
      <c r="I63" s="57"/>
      <c r="J63" s="57"/>
      <c r="K63" s="86" t="s">
        <v>10</v>
      </c>
      <c r="L63" s="88"/>
      <c r="M63" s="20" t="s">
        <v>10</v>
      </c>
      <c r="N63" s="13" t="str">
        <f>IF(((K64*2 +L64) = 3),"min",IF((K64*2+L64 = 2), "s",IF((K64*2+L64=1),"ms","us")))</f>
        <v>ms</v>
      </c>
      <c r="O63" s="2"/>
      <c r="P63" s="1"/>
      <c r="Q63" s="2" t="s">
        <v>67</v>
      </c>
      <c r="R63" s="13">
        <f>(P64*4)+((_xlfn.BITAND(P61,768)/2^8))</f>
        <v>84</v>
      </c>
      <c r="S63" s="13" t="str">
        <f>IF(R63&lt;16,CONCATENATE("0x0",(DEC2HEX(R63))),CONCATENATE("0x",(DEC2HEX(R63))))</f>
        <v>0x54</v>
      </c>
      <c r="T63" s="5" t="str">
        <f>DEC2BIN(R63,8)</f>
        <v>01010100</v>
      </c>
    </row>
    <row r="64" spans="5:20" x14ac:dyDescent="0.25">
      <c r="E64" s="102"/>
      <c r="F64" s="103"/>
      <c r="G64" s="104"/>
      <c r="H64" s="28">
        <v>1</v>
      </c>
      <c r="I64" s="28">
        <v>0</v>
      </c>
      <c r="J64" s="28">
        <v>1</v>
      </c>
      <c r="K64" s="28">
        <v>0</v>
      </c>
      <c r="L64" s="28">
        <v>1</v>
      </c>
      <c r="M64" s="20" t="s">
        <v>57</v>
      </c>
      <c r="N64" s="13">
        <f>IF(AND(H64 = 0,I64=0,J64=0), 16,IF(AND(H64 = 0,I64=0,J64=1),24,IF(AND(H64 = 0,I64=1,J64=0),32,IF(AND(H64 = 0,I64=1,J64=1),48,IF(AND(H64 = 1,I64=0,J64=0),64,IF(AND(H64 = 1,I64=0,J64=1),96,IF(AND(H64 = 1,I64=1,J64=0),128,IF(AND(H64 = 1,I64=1,J64=1),256,"false"))))))))</f>
        <v>96</v>
      </c>
      <c r="O64" s="2" t="s">
        <v>58</v>
      </c>
      <c r="P64" s="5">
        <f>BIN2DEC(CONCATENATE(H64,I64,J64,K64,L64))</f>
        <v>21</v>
      </c>
      <c r="Q64" s="2"/>
      <c r="R64" s="2"/>
      <c r="S64" s="2"/>
      <c r="T64" s="1"/>
    </row>
    <row r="65" spans="5:20" x14ac:dyDescent="0.25">
      <c r="E65" s="57" t="s">
        <v>68</v>
      </c>
      <c r="F65" s="57"/>
      <c r="G65" s="57"/>
      <c r="H65" s="57"/>
      <c r="I65" s="57"/>
      <c r="J65" s="57"/>
      <c r="K65" s="57"/>
      <c r="L65" s="57"/>
      <c r="M65" s="1"/>
      <c r="P65" s="1"/>
      <c r="Q65" s="2"/>
      <c r="R65" s="2"/>
      <c r="S65" s="2"/>
      <c r="T65" s="1"/>
    </row>
    <row r="66" spans="5:20" x14ac:dyDescent="0.25">
      <c r="E66" s="75">
        <v>3.3</v>
      </c>
      <c r="F66" s="75"/>
      <c r="G66" s="75"/>
      <c r="H66" s="75"/>
      <c r="I66" s="75"/>
      <c r="J66" s="75"/>
      <c r="K66" s="75"/>
      <c r="L66" s="75"/>
      <c r="M66" s="101" t="s">
        <v>5</v>
      </c>
      <c r="N66" s="76">
        <f>(P66*Variables!C1/Variables!C3)*Variables!C2</f>
        <v>3.2996336996337039</v>
      </c>
      <c r="O66" s="73" t="s">
        <v>5</v>
      </c>
      <c r="P66" s="76">
        <f>(IF(E66&lt;0,0,IF(E66&gt;4.8,4095,ROUND((E66/Variables!F3),0))))</f>
        <v>2815</v>
      </c>
      <c r="Q66" s="20" t="s">
        <v>69</v>
      </c>
      <c r="R66" s="13">
        <f>_xlfn.BITAND(P66,255)</f>
        <v>255</v>
      </c>
      <c r="S66" s="13" t="str">
        <f>IF(R66&lt;16,CONCATENATE("0x0",(DEC2HEX(R66))),CONCATENATE("0x",(DEC2HEX(R66))))</f>
        <v>0xFF</v>
      </c>
      <c r="T66" s="5" t="str">
        <f>DEC2BIN(R66,8)</f>
        <v>11111111</v>
      </c>
    </row>
    <row r="67" spans="5:20" x14ac:dyDescent="0.25">
      <c r="E67" s="75"/>
      <c r="F67" s="75"/>
      <c r="G67" s="75"/>
      <c r="H67" s="75"/>
      <c r="I67" s="75"/>
      <c r="J67" s="75"/>
      <c r="K67" s="75"/>
      <c r="L67" s="75"/>
      <c r="M67" s="101"/>
      <c r="N67" s="76"/>
      <c r="O67" s="73"/>
      <c r="P67" s="76"/>
      <c r="Q67" s="2"/>
      <c r="R67" s="2"/>
      <c r="S67" s="2"/>
      <c r="T67" s="1"/>
    </row>
    <row r="68" spans="5:20" x14ac:dyDescent="0.25">
      <c r="E68" s="75"/>
      <c r="F68" s="75"/>
      <c r="G68" s="75"/>
      <c r="H68" s="75"/>
      <c r="I68" s="75"/>
      <c r="J68" s="75"/>
      <c r="K68" s="75"/>
      <c r="L68" s="75"/>
      <c r="M68" s="101"/>
      <c r="N68" s="76"/>
      <c r="O68" s="73"/>
      <c r="P68" s="76"/>
      <c r="Q68" s="2" t="s">
        <v>70</v>
      </c>
      <c r="R68" s="13">
        <f>((_xlfn.BITAND(P66,3840))/(2^8))</f>
        <v>10</v>
      </c>
      <c r="S68" s="13" t="str">
        <f>IF(R68&lt;16,CONCATENATE("0x0",(DEC2HEX(R68))),CONCATENATE("0x",(DEC2HEX(R68))))</f>
        <v>0x0A</v>
      </c>
      <c r="T68" s="5" t="str">
        <f>DEC2BIN(R68,8)</f>
        <v>00001010</v>
      </c>
    </row>
    <row r="69" spans="5:20" x14ac:dyDescent="0.25">
      <c r="E69" s="57" t="s">
        <v>71</v>
      </c>
      <c r="F69" s="57"/>
      <c r="G69" s="57"/>
      <c r="H69" s="57"/>
      <c r="I69" s="57"/>
      <c r="J69" s="57"/>
      <c r="K69" s="57"/>
      <c r="L69" s="57"/>
      <c r="M69" s="1"/>
      <c r="P69" s="1"/>
      <c r="Q69" s="2"/>
      <c r="R69" s="2"/>
      <c r="S69" s="2"/>
      <c r="T69" s="1"/>
    </row>
    <row r="70" spans="5:20" x14ac:dyDescent="0.25">
      <c r="E70" s="75">
        <v>4.1500000000000004</v>
      </c>
      <c r="F70" s="75"/>
      <c r="G70" s="75"/>
      <c r="H70" s="75"/>
      <c r="I70" s="75"/>
      <c r="J70" s="75"/>
      <c r="K70" s="75"/>
      <c r="L70" s="75"/>
      <c r="M70" s="101" t="s">
        <v>5</v>
      </c>
      <c r="N70" s="76">
        <f>(P70*Variables!C1/Variables!C3)*Variables!C2</f>
        <v>4.1494505494505551</v>
      </c>
      <c r="O70" s="73" t="s">
        <v>5</v>
      </c>
      <c r="P70" s="76">
        <f>(IF(E70&lt;0,0,IF(E70&gt;4.8,4095,ROUND((E70/Variables!F3),0))))</f>
        <v>3540</v>
      </c>
      <c r="Q70" s="20" t="s">
        <v>72</v>
      </c>
      <c r="R70" s="13">
        <f>_xlfn.BITAND(P70,255)</f>
        <v>212</v>
      </c>
      <c r="S70" s="13" t="str">
        <f>IF(R70&lt;16,CONCATENATE("0x0",(DEC2HEX(R70))),CONCATENATE("0x",(DEC2HEX(R70))))</f>
        <v>0xD4</v>
      </c>
      <c r="T70" s="5" t="str">
        <f>DEC2BIN(R70,8)</f>
        <v>11010100</v>
      </c>
    </row>
    <row r="71" spans="5:20" x14ac:dyDescent="0.25">
      <c r="E71" s="75"/>
      <c r="F71" s="75"/>
      <c r="G71" s="75"/>
      <c r="H71" s="75"/>
      <c r="I71" s="75"/>
      <c r="J71" s="75"/>
      <c r="K71" s="75"/>
      <c r="L71" s="75"/>
      <c r="M71" s="101"/>
      <c r="N71" s="76"/>
      <c r="O71" s="73"/>
      <c r="P71" s="76"/>
      <c r="Q71" s="2"/>
      <c r="R71" s="2"/>
      <c r="S71" s="2"/>
      <c r="T71" s="1"/>
    </row>
    <row r="72" spans="5:20" x14ac:dyDescent="0.25">
      <c r="E72" s="75"/>
      <c r="F72" s="75"/>
      <c r="G72" s="75"/>
      <c r="H72" s="75"/>
      <c r="I72" s="75"/>
      <c r="J72" s="75"/>
      <c r="K72" s="75"/>
      <c r="L72" s="75"/>
      <c r="M72" s="101"/>
      <c r="N72" s="76"/>
      <c r="O72" s="73"/>
      <c r="P72" s="76"/>
      <c r="Q72" s="2" t="s">
        <v>73</v>
      </c>
      <c r="R72" s="13">
        <f>((_xlfn.BITAND(P70,3840))/(2^8))</f>
        <v>13</v>
      </c>
      <c r="S72" s="13" t="str">
        <f>IF(R72&lt;16,CONCATENATE("0x0",(DEC2HEX(R72))),CONCATENATE("0x",(DEC2HEX(R72))))</f>
        <v>0x0D</v>
      </c>
      <c r="T72" s="5" t="str">
        <f>DEC2BIN(R72,8)</f>
        <v>00001101</v>
      </c>
    </row>
    <row r="73" spans="5:20" x14ac:dyDescent="0.25">
      <c r="E73" s="57" t="s">
        <v>74</v>
      </c>
      <c r="F73" s="57"/>
      <c r="G73" s="57"/>
      <c r="H73" s="57"/>
      <c r="I73" s="57"/>
      <c r="J73" s="57"/>
      <c r="K73" s="57"/>
      <c r="L73" s="57"/>
      <c r="M73" s="1"/>
      <c r="P73" s="1"/>
      <c r="Q73" s="2"/>
      <c r="R73" s="2"/>
      <c r="S73" s="2"/>
      <c r="T73" s="1"/>
    </row>
    <row r="74" spans="5:20" x14ac:dyDescent="0.25">
      <c r="E74" s="75">
        <v>0.02</v>
      </c>
      <c r="F74" s="75"/>
      <c r="G74" s="75"/>
      <c r="H74" s="75"/>
      <c r="I74" s="75"/>
      <c r="J74" s="75"/>
      <c r="K74" s="75"/>
      <c r="L74" s="75"/>
      <c r="M74" s="101" t="s">
        <v>5</v>
      </c>
      <c r="N74" s="76">
        <f>(P74*Variables!C1/Variables!C3)*Variables!C2</f>
        <v>1.9926739926739951E-2</v>
      </c>
      <c r="O74" s="73" t="s">
        <v>5</v>
      </c>
      <c r="P74" s="76">
        <f>(IF(E74&lt;0,0,IF(E74&gt;4.8,4095,ROUND((E74/Variables!F3),0))))</f>
        <v>17</v>
      </c>
      <c r="Q74" s="20" t="s">
        <v>75</v>
      </c>
      <c r="R74" s="13">
        <f>_xlfn.BITAND(P74,255)</f>
        <v>17</v>
      </c>
      <c r="S74" s="13" t="str">
        <f>IF(R74&lt;16,CONCATENATE("0x0",(DEC2HEX(R74))),CONCATENATE("0x",(DEC2HEX(R74))))</f>
        <v>0x11</v>
      </c>
      <c r="T74" s="5" t="str">
        <f>DEC2BIN(R74,8)</f>
        <v>00010001</v>
      </c>
    </row>
    <row r="75" spans="5:20" x14ac:dyDescent="0.25">
      <c r="E75" s="75"/>
      <c r="F75" s="75"/>
      <c r="G75" s="75"/>
      <c r="H75" s="75"/>
      <c r="I75" s="75"/>
      <c r="J75" s="75"/>
      <c r="K75" s="75"/>
      <c r="L75" s="75"/>
      <c r="M75" s="101"/>
      <c r="N75" s="76"/>
      <c r="O75" s="73"/>
      <c r="P75" s="76"/>
      <c r="Q75" s="2"/>
      <c r="R75" s="2"/>
      <c r="S75" s="2"/>
      <c r="T75" s="1"/>
    </row>
    <row r="76" spans="5:20" x14ac:dyDescent="0.25">
      <c r="E76" s="75"/>
      <c r="F76" s="75"/>
      <c r="G76" s="75"/>
      <c r="H76" s="75"/>
      <c r="I76" s="75"/>
      <c r="J76" s="75"/>
      <c r="K76" s="75"/>
      <c r="L76" s="75"/>
      <c r="M76" s="101"/>
      <c r="N76" s="76"/>
      <c r="O76" s="73"/>
      <c r="P76" s="76"/>
      <c r="Q76" s="2" t="s">
        <v>76</v>
      </c>
      <c r="R76" s="13">
        <f>((_xlfn.BITAND(P74,3840))/(2^8))</f>
        <v>0</v>
      </c>
      <c r="S76" s="13" t="str">
        <f>IF(R76&lt;16,CONCATENATE("0x0",(DEC2HEX(R76))),CONCATENATE("0x",(DEC2HEX(R76))))</f>
        <v>0x00</v>
      </c>
      <c r="T76" s="5" t="str">
        <f>DEC2BIN(R76,8)</f>
        <v>00000000</v>
      </c>
    </row>
    <row r="77" spans="5:20" x14ac:dyDescent="0.25">
      <c r="E77" s="57" t="s">
        <v>77</v>
      </c>
      <c r="F77" s="57"/>
      <c r="G77" s="57"/>
      <c r="H77" s="57"/>
      <c r="I77" s="57"/>
      <c r="J77" s="57"/>
      <c r="K77" s="57"/>
      <c r="L77" s="57"/>
      <c r="M77" s="1"/>
      <c r="P77" s="1"/>
      <c r="Q77" s="2"/>
      <c r="R77" s="2"/>
      <c r="S77" s="2"/>
      <c r="T77" s="1"/>
    </row>
    <row r="78" spans="5:20" x14ac:dyDescent="0.25">
      <c r="E78" s="75">
        <v>5</v>
      </c>
      <c r="F78" s="75"/>
      <c r="G78" s="75"/>
      <c r="H78" s="75"/>
      <c r="I78" s="75"/>
      <c r="J78" s="75"/>
      <c r="K78" s="75"/>
      <c r="L78" s="75"/>
      <c r="M78" s="101" t="s">
        <v>5</v>
      </c>
      <c r="N78" s="76">
        <f>(P78*Variables!C1/Variables!C3)*Variables!C2</f>
        <v>4.800000000000006</v>
      </c>
      <c r="O78" s="73" t="s">
        <v>5</v>
      </c>
      <c r="P78" s="76">
        <f>(IF(E78&lt;0,0,IF(E78&gt;4.8,4095,ROUND((E78/Variables!F3),0))))</f>
        <v>4095</v>
      </c>
      <c r="Q78" s="20" t="s">
        <v>78</v>
      </c>
      <c r="R78" s="13">
        <f>_xlfn.BITAND(P78,255)</f>
        <v>255</v>
      </c>
      <c r="S78" s="13" t="str">
        <f>IF(R78&lt;16,CONCATENATE("0x0",(DEC2HEX(R78))),CONCATENATE("0x",(DEC2HEX(R78))))</f>
        <v>0xFF</v>
      </c>
      <c r="T78" s="5" t="str">
        <f>DEC2BIN(R78,8)</f>
        <v>11111111</v>
      </c>
    </row>
    <row r="79" spans="5:20" x14ac:dyDescent="0.25">
      <c r="E79" s="75"/>
      <c r="F79" s="75"/>
      <c r="G79" s="75"/>
      <c r="H79" s="75"/>
      <c r="I79" s="75"/>
      <c r="J79" s="75"/>
      <c r="K79" s="75"/>
      <c r="L79" s="75"/>
      <c r="M79" s="101"/>
      <c r="N79" s="76"/>
      <c r="O79" s="73"/>
      <c r="P79" s="76"/>
      <c r="Q79" s="2"/>
      <c r="R79" s="2"/>
      <c r="S79" s="2"/>
      <c r="T79" s="1"/>
    </row>
    <row r="80" spans="5:20" x14ac:dyDescent="0.25">
      <c r="E80" s="75"/>
      <c r="F80" s="75"/>
      <c r="G80" s="75"/>
      <c r="H80" s="75"/>
      <c r="I80" s="75"/>
      <c r="J80" s="75"/>
      <c r="K80" s="75"/>
      <c r="L80" s="75"/>
      <c r="M80" s="101"/>
      <c r="N80" s="76"/>
      <c r="O80" s="73"/>
      <c r="P80" s="76"/>
      <c r="Q80" s="2" t="s">
        <v>79</v>
      </c>
      <c r="R80" s="13">
        <f>((_xlfn.BITAND(P78,3840))/(2^8))</f>
        <v>15</v>
      </c>
      <c r="S80" s="13" t="str">
        <f>IF(R80&lt;16,CONCATENATE("0x0",(DEC2HEX(R80))),CONCATENATE("0x",(DEC2HEX(R80))))</f>
        <v>0x0F</v>
      </c>
      <c r="T80" s="5" t="str">
        <f>DEC2BIN(R80,8)</f>
        <v>00001111</v>
      </c>
    </row>
    <row r="81" spans="4:20" x14ac:dyDescent="0.25">
      <c r="E81" s="57" t="s">
        <v>80</v>
      </c>
      <c r="F81" s="57"/>
      <c r="G81" s="57"/>
      <c r="H81" s="57"/>
      <c r="I81" s="57"/>
      <c r="J81" s="57"/>
      <c r="K81" s="57"/>
      <c r="L81" s="57"/>
      <c r="M81" s="11"/>
      <c r="P81" s="11"/>
      <c r="Q81" s="24"/>
      <c r="R81" s="2"/>
      <c r="S81" s="2"/>
      <c r="T81" s="1"/>
    </row>
    <row r="82" spans="4:20" x14ac:dyDescent="0.25">
      <c r="E82" s="72">
        <v>2</v>
      </c>
      <c r="F82" s="72"/>
      <c r="G82" s="72"/>
      <c r="H82" s="72"/>
      <c r="I82" s="72"/>
      <c r="J82" s="72"/>
      <c r="K82" s="72"/>
      <c r="L82" s="72"/>
      <c r="M82" s="16"/>
      <c r="N82" s="22">
        <f>IF(E82&lt;0, "0", IF(E82 &gt; 1024, "1024",ROUND(E82,0)))</f>
        <v>2</v>
      </c>
      <c r="O82" s="22" t="str">
        <f>N85</f>
        <v>s</v>
      </c>
      <c r="P82" s="22">
        <f>N82</f>
        <v>2</v>
      </c>
      <c r="Q82" s="2"/>
      <c r="R82" s="2"/>
      <c r="S82" s="2"/>
      <c r="T82" s="1"/>
    </row>
    <row r="83" spans="4:20" x14ac:dyDescent="0.25">
      <c r="E83" s="86" t="s">
        <v>85</v>
      </c>
      <c r="F83" s="87"/>
      <c r="G83" s="87"/>
      <c r="H83" s="87"/>
      <c r="I83" s="87"/>
      <c r="J83" s="87"/>
      <c r="K83" s="87"/>
      <c r="L83" s="88"/>
      <c r="M83" s="11"/>
      <c r="P83" s="11"/>
      <c r="Q83" s="2" t="s">
        <v>83</v>
      </c>
      <c r="R83" s="13">
        <f>_xlfn.BITAND(P82,255)</f>
        <v>2</v>
      </c>
      <c r="S83" s="13" t="str">
        <f>IF(R83&lt;16,CONCATENATE("0x0",(DEC2HEX(R83))),CONCATENATE("0x",(DEC2HEX(R83))))</f>
        <v>0x02</v>
      </c>
      <c r="T83" s="5" t="str">
        <f>DEC2BIN(R83,8)</f>
        <v>00000010</v>
      </c>
    </row>
    <row r="84" spans="4:20" x14ac:dyDescent="0.25">
      <c r="E84" s="86" t="s">
        <v>81</v>
      </c>
      <c r="F84" s="87"/>
      <c r="G84" s="87"/>
      <c r="H84" s="88"/>
      <c r="I84" s="86" t="s">
        <v>181</v>
      </c>
      <c r="J84" s="87"/>
      <c r="K84" s="87"/>
      <c r="L84" s="88"/>
      <c r="M84" s="11"/>
      <c r="P84" s="11"/>
      <c r="Q84" s="2"/>
      <c r="R84" s="2"/>
      <c r="S84" s="2"/>
      <c r="T84" s="1"/>
    </row>
    <row r="85" spans="4:20" x14ac:dyDescent="0.25">
      <c r="E85" s="75">
        <v>1</v>
      </c>
      <c r="F85" s="75"/>
      <c r="G85" s="75"/>
      <c r="H85" s="75"/>
      <c r="I85" s="75">
        <v>0</v>
      </c>
      <c r="J85" s="75"/>
      <c r="K85" s="75"/>
      <c r="L85" s="75"/>
      <c r="M85" s="16"/>
      <c r="N85" s="22" t="str">
        <f>IF(((E85*2 +I85) = 3),"min",IF((E85*2+I85 = 2), "s",IF((E85*2+I85=1),"ms","us")))</f>
        <v>s</v>
      </c>
      <c r="O85" s="16"/>
      <c r="P85" s="22">
        <f>IF(N85="min",3,IF(N85="s",2,IF(N85="ms",1,0)))</f>
        <v>2</v>
      </c>
      <c r="Q85" s="16" t="s">
        <v>84</v>
      </c>
      <c r="R85" s="22">
        <f>(P85*4)+((_xlfn.BITAND(P82,768)/2^8))</f>
        <v>8</v>
      </c>
      <c r="S85" s="22" t="str">
        <f>IF(R85&lt;16,CONCATENATE("0x0",(DEC2HEX(R85))),CONCATENATE("0x",(DEC2HEX(R85))))</f>
        <v>0x08</v>
      </c>
      <c r="T85" s="5" t="str">
        <f>DEC2BIN(R85,8)</f>
        <v>00001000</v>
      </c>
    </row>
    <row r="86" spans="4:20" x14ac:dyDescent="0.25">
      <c r="E86" s="57" t="s">
        <v>86</v>
      </c>
      <c r="F86" s="57"/>
      <c r="G86" s="57"/>
      <c r="H86" s="57"/>
      <c r="I86" s="57"/>
      <c r="J86" s="57"/>
      <c r="K86" s="57"/>
      <c r="L86" s="57"/>
      <c r="M86" s="11"/>
      <c r="P86" s="11"/>
      <c r="Q86" s="24"/>
      <c r="R86" s="2"/>
      <c r="S86" s="2"/>
      <c r="T86" s="1"/>
    </row>
    <row r="87" spans="4:20" x14ac:dyDescent="0.25">
      <c r="E87" s="72">
        <v>2</v>
      </c>
      <c r="F87" s="72"/>
      <c r="G87" s="72"/>
      <c r="H87" s="72"/>
      <c r="I87" s="72"/>
      <c r="J87" s="72"/>
      <c r="K87" s="72"/>
      <c r="L87" s="72"/>
      <c r="M87" s="16"/>
      <c r="N87" s="22">
        <f>IF(E87&lt;0, "0", IF(E87 &gt; 1024, "1024",ROUND(E87,0)))</f>
        <v>2</v>
      </c>
      <c r="O87" s="16"/>
      <c r="P87" s="22">
        <f>N87</f>
        <v>2</v>
      </c>
      <c r="Q87" s="2"/>
      <c r="R87" s="2"/>
      <c r="S87" s="2"/>
      <c r="T87" s="1"/>
    </row>
    <row r="88" spans="4:20" x14ac:dyDescent="0.25">
      <c r="E88" s="86" t="s">
        <v>87</v>
      </c>
      <c r="F88" s="87"/>
      <c r="G88" s="87"/>
      <c r="H88" s="87"/>
      <c r="I88" s="87"/>
      <c r="J88" s="87"/>
      <c r="K88" s="87"/>
      <c r="L88" s="88"/>
      <c r="M88" s="11"/>
      <c r="P88" s="11"/>
      <c r="Q88" s="2" t="s">
        <v>90</v>
      </c>
      <c r="R88" s="13">
        <f>_xlfn.BITAND(P87,255)</f>
        <v>2</v>
      </c>
      <c r="S88" s="13" t="str">
        <f>IF(R88&lt;16,CONCATENATE("0x0",(DEC2HEX(R88))),CONCATENATE("0x",(DEC2HEX(R88))))</f>
        <v>0x02</v>
      </c>
      <c r="T88" s="5" t="str">
        <f>DEC2BIN(R88,8)</f>
        <v>00000010</v>
      </c>
    </row>
    <row r="89" spans="4:20" x14ac:dyDescent="0.25">
      <c r="E89" s="86" t="s">
        <v>183</v>
      </c>
      <c r="F89" s="87"/>
      <c r="G89" s="87"/>
      <c r="H89" s="88"/>
      <c r="I89" s="86" t="s">
        <v>182</v>
      </c>
      <c r="J89" s="87"/>
      <c r="K89" s="87"/>
      <c r="L89" s="88"/>
      <c r="M89" s="11"/>
      <c r="P89" s="11"/>
      <c r="Q89" s="2"/>
      <c r="R89" s="2"/>
      <c r="S89" s="2"/>
      <c r="T89" s="1"/>
    </row>
    <row r="90" spans="4:20" x14ac:dyDescent="0.25">
      <c r="E90" s="75">
        <v>1</v>
      </c>
      <c r="F90" s="75"/>
      <c r="G90" s="75"/>
      <c r="H90" s="75"/>
      <c r="I90" s="75">
        <v>0</v>
      </c>
      <c r="J90" s="75"/>
      <c r="K90" s="75"/>
      <c r="L90" s="75"/>
      <c r="M90" s="16"/>
      <c r="N90" s="22" t="str">
        <f>IF(((E90*2 +I90) = 3),"min",IF((E90*2+I90 = 2), "s",IF((E90*2+I90=1),"ms","us")))</f>
        <v>s</v>
      </c>
      <c r="O90" s="16"/>
      <c r="P90" s="22">
        <f>IF(N90="min",3,IF(N90="s",2,IF(N90="ms",1,0)))</f>
        <v>2</v>
      </c>
      <c r="Q90" s="16" t="s">
        <v>91</v>
      </c>
      <c r="R90" s="22">
        <f>(P90*4)+((_xlfn.BITAND(P87,768)/2^8))</f>
        <v>8</v>
      </c>
      <c r="S90" s="22" t="str">
        <f>IF(R90&lt;16,CONCATENATE("0x0",(DEC2HEX(R90))),CONCATENATE("0x",(DEC2HEX(R90))))</f>
        <v>0x08</v>
      </c>
      <c r="T90" s="5" t="str">
        <f>DEC2BIN(R90,8)</f>
        <v>00001000</v>
      </c>
    </row>
    <row r="91" spans="4:20" x14ac:dyDescent="0.25">
      <c r="E91" s="73" t="s">
        <v>89</v>
      </c>
      <c r="F91" s="73"/>
      <c r="G91" s="73"/>
      <c r="H91" s="73"/>
      <c r="I91" s="73"/>
      <c r="J91" s="73"/>
      <c r="K91" s="73"/>
      <c r="L91" s="73"/>
      <c r="M91" s="1"/>
      <c r="P91" s="1"/>
      <c r="Q91" s="2"/>
      <c r="R91" s="2"/>
      <c r="S91" s="2"/>
      <c r="T91" s="1"/>
    </row>
    <row r="92" spans="4:20" x14ac:dyDescent="0.25">
      <c r="E92" s="75">
        <f>0.6453*2</f>
        <v>1.2906</v>
      </c>
      <c r="F92" s="75"/>
      <c r="G92" s="75"/>
      <c r="H92" s="75"/>
      <c r="I92" s="75"/>
      <c r="J92" s="75"/>
      <c r="K92" s="75"/>
      <c r="L92" s="75"/>
      <c r="M92" s="101" t="s">
        <v>5</v>
      </c>
      <c r="N92" s="76">
        <f>(P92*Variables!C1/Variables!C3)</f>
        <v>1.2905494505494506</v>
      </c>
      <c r="O92" s="101" t="s">
        <v>5</v>
      </c>
      <c r="P92" s="76">
        <f>(IF(E92&lt;0,0,IF(E92&gt;1.8,4095,ROUND(((E92*4095)/1.8),0))))</f>
        <v>2936</v>
      </c>
      <c r="Q92" s="2" t="s">
        <v>92</v>
      </c>
      <c r="R92" s="13">
        <f>_xlfn.BITAND(P92,255)</f>
        <v>120</v>
      </c>
      <c r="S92" s="13" t="str">
        <f>IF(R92&lt;16,CONCATENATE("0x0",(DEC2HEX(R92))),CONCATENATE("0x",(DEC2HEX(R92))))</f>
        <v>0x78</v>
      </c>
      <c r="T92" s="5" t="str">
        <f>DEC2BIN(R92,8)</f>
        <v>01111000</v>
      </c>
    </row>
    <row r="93" spans="4:20" x14ac:dyDescent="0.25">
      <c r="D93" t="s">
        <v>202</v>
      </c>
      <c r="E93" s="75"/>
      <c r="F93" s="75"/>
      <c r="G93" s="75"/>
      <c r="H93" s="75"/>
      <c r="I93" s="75"/>
      <c r="J93" s="75"/>
      <c r="K93" s="75"/>
      <c r="L93" s="75"/>
      <c r="M93" s="101"/>
      <c r="N93" s="76"/>
      <c r="O93" s="101"/>
      <c r="P93" s="76"/>
      <c r="Q93" s="2"/>
      <c r="R93" s="2"/>
      <c r="S93" s="2"/>
      <c r="T93" s="2"/>
    </row>
    <row r="94" spans="4:20" x14ac:dyDescent="0.25">
      <c r="E94" s="75"/>
      <c r="F94" s="75"/>
      <c r="G94" s="75"/>
      <c r="H94" s="75"/>
      <c r="I94" s="75"/>
      <c r="J94" s="75"/>
      <c r="K94" s="75"/>
      <c r="L94" s="75"/>
      <c r="M94" s="101"/>
      <c r="N94" s="76"/>
      <c r="O94" s="101"/>
      <c r="P94" s="76"/>
      <c r="Q94" s="2" t="s">
        <v>93</v>
      </c>
      <c r="R94" s="13">
        <f>((_xlfn.BITAND(P92,3840))/(2^8))</f>
        <v>11</v>
      </c>
      <c r="S94" s="13" t="str">
        <f>IF(R94&lt;16,CONCATENATE("0x0",(DEC2HEX(R94))),CONCATENATE("0x",(DEC2HEX(R94))))</f>
        <v>0x0B</v>
      </c>
      <c r="T94" s="5" t="str">
        <f>DEC2BIN(R94,8)</f>
        <v>00001011</v>
      </c>
    </row>
    <row r="95" spans="4:20" x14ac:dyDescent="0.25">
      <c r="E95" s="73" t="s">
        <v>94</v>
      </c>
      <c r="F95" s="73"/>
      <c r="G95" s="73"/>
      <c r="H95" s="73"/>
      <c r="I95" s="73"/>
      <c r="J95" s="73"/>
      <c r="K95" s="73"/>
      <c r="L95" s="73"/>
      <c r="M95" s="1"/>
      <c r="P95" s="1"/>
      <c r="Q95" s="2"/>
      <c r="R95" s="2"/>
      <c r="S95" s="2"/>
      <c r="T95" s="1"/>
    </row>
    <row r="96" spans="4:20" x14ac:dyDescent="0.25">
      <c r="E96" s="75">
        <f>0.6275*2</f>
        <v>1.2549999999999999</v>
      </c>
      <c r="F96" s="75"/>
      <c r="G96" s="75"/>
      <c r="H96" s="75"/>
      <c r="I96" s="75"/>
      <c r="J96" s="75"/>
      <c r="K96" s="75"/>
      <c r="L96" s="75"/>
      <c r="M96" s="101" t="s">
        <v>5</v>
      </c>
      <c r="N96" s="76">
        <f>(P96*Variables!C1/Variables!C3)</f>
        <v>1.2549450549450549</v>
      </c>
      <c r="O96" s="101" t="s">
        <v>5</v>
      </c>
      <c r="P96" s="76">
        <f>(IF(E96&lt;0,0,IF(E96&gt;1.8,4095,ROUND(((E96*4095)/1.8),0))))</f>
        <v>2855</v>
      </c>
      <c r="Q96" s="2" t="s">
        <v>95</v>
      </c>
      <c r="R96" s="13">
        <f>_xlfn.BITAND(P96,255)</f>
        <v>39</v>
      </c>
      <c r="S96" s="13" t="str">
        <f>IF(R96&lt;16,CONCATENATE("0x0",(DEC2HEX(R96))),CONCATENATE("0x",(DEC2HEX(R96))))</f>
        <v>0x27</v>
      </c>
      <c r="T96" s="5" t="str">
        <f>DEC2BIN(R96,8)</f>
        <v>00100111</v>
      </c>
    </row>
    <row r="97" spans="4:20" x14ac:dyDescent="0.25">
      <c r="D97" t="s">
        <v>203</v>
      </c>
      <c r="E97" s="75"/>
      <c r="F97" s="75"/>
      <c r="G97" s="75"/>
      <c r="H97" s="75"/>
      <c r="I97" s="75"/>
      <c r="J97" s="75"/>
      <c r="K97" s="75"/>
      <c r="L97" s="75"/>
      <c r="M97" s="101"/>
      <c r="N97" s="76"/>
      <c r="O97" s="101"/>
      <c r="P97" s="76"/>
      <c r="Q97" s="2"/>
      <c r="R97" s="1"/>
      <c r="S97" s="1"/>
      <c r="T97" s="1"/>
    </row>
    <row r="98" spans="4:20" x14ac:dyDescent="0.25">
      <c r="E98" s="75"/>
      <c r="F98" s="75"/>
      <c r="G98" s="75"/>
      <c r="H98" s="75"/>
      <c r="I98" s="75"/>
      <c r="J98" s="75"/>
      <c r="K98" s="75"/>
      <c r="L98" s="75"/>
      <c r="M98" s="101"/>
      <c r="N98" s="76"/>
      <c r="O98" s="101"/>
      <c r="P98" s="76"/>
      <c r="Q98" s="2" t="s">
        <v>96</v>
      </c>
      <c r="R98" s="13">
        <f>((_xlfn.BITAND(P96,3840))/(2^8))</f>
        <v>11</v>
      </c>
      <c r="S98" s="13" t="str">
        <f>IF(R98&lt;16,CONCATENATE("0x0",(DEC2HEX(R98))),CONCATENATE("0x",(DEC2HEX(R98))))</f>
        <v>0x0B</v>
      </c>
      <c r="T98" s="5" t="str">
        <f>DEC2BIN(R98,8)</f>
        <v>00001011</v>
      </c>
    </row>
    <row r="99" spans="4:20" x14ac:dyDescent="0.25">
      <c r="E99" s="73" t="s">
        <v>100</v>
      </c>
      <c r="F99" s="73"/>
      <c r="G99" s="73"/>
      <c r="H99" s="73"/>
      <c r="I99" s="73"/>
      <c r="J99" s="73"/>
      <c r="K99" s="73"/>
      <c r="L99" s="73"/>
      <c r="M99" s="1"/>
      <c r="P99" s="1"/>
      <c r="Q99" s="2"/>
      <c r="R99" s="2"/>
      <c r="S99" s="2"/>
      <c r="T99" s="1"/>
    </row>
    <row r="100" spans="4:20" x14ac:dyDescent="0.25">
      <c r="E100" s="75">
        <f>0.3409*2</f>
        <v>0.68179999999999996</v>
      </c>
      <c r="F100" s="75"/>
      <c r="G100" s="75"/>
      <c r="H100" s="75"/>
      <c r="I100" s="75"/>
      <c r="J100" s="75"/>
      <c r="K100" s="75"/>
      <c r="L100" s="75"/>
      <c r="M100" s="101" t="s">
        <v>5</v>
      </c>
      <c r="N100" s="76">
        <f>(P100*Variables!C1/Variables!C3)</f>
        <v>0.68175824175824185</v>
      </c>
      <c r="O100" s="101" t="s">
        <v>5</v>
      </c>
      <c r="P100" s="76">
        <f>(IF(E100&lt;0,0,IF(E100&gt;1.8,4095,ROUND(((E100*4095)/1.8),0))))</f>
        <v>1551</v>
      </c>
      <c r="Q100" s="2" t="s">
        <v>97</v>
      </c>
      <c r="R100" s="13">
        <f>_xlfn.BITAND(P100,255)</f>
        <v>15</v>
      </c>
      <c r="S100" s="13" t="str">
        <f>IF(R100&lt;16,CONCATENATE("0x0",(DEC2HEX(R100))),CONCATENATE("0x",(DEC2HEX(R100))))</f>
        <v>0x0F</v>
      </c>
      <c r="T100" s="5" t="str">
        <f>DEC2BIN(R100,8)</f>
        <v>00001111</v>
      </c>
    </row>
    <row r="101" spans="4:20" x14ac:dyDescent="0.25">
      <c r="D101" t="s">
        <v>204</v>
      </c>
      <c r="E101" s="75"/>
      <c r="F101" s="75"/>
      <c r="G101" s="75"/>
      <c r="H101" s="75"/>
      <c r="I101" s="75"/>
      <c r="J101" s="75"/>
      <c r="K101" s="75"/>
      <c r="L101" s="75"/>
      <c r="M101" s="101"/>
      <c r="N101" s="76"/>
      <c r="O101" s="101"/>
      <c r="P101" s="76"/>
      <c r="Q101" s="2"/>
      <c r="R101" s="1"/>
      <c r="S101" s="1"/>
      <c r="T101" s="1"/>
    </row>
    <row r="102" spans="4:20" x14ac:dyDescent="0.25">
      <c r="E102" s="75"/>
      <c r="F102" s="75"/>
      <c r="G102" s="75"/>
      <c r="H102" s="75"/>
      <c r="I102" s="75"/>
      <c r="J102" s="75"/>
      <c r="K102" s="75"/>
      <c r="L102" s="75"/>
      <c r="M102" s="101"/>
      <c r="N102" s="76"/>
      <c r="O102" s="101"/>
      <c r="P102" s="76"/>
      <c r="Q102" s="2" t="s">
        <v>98</v>
      </c>
      <c r="R102" s="13">
        <f>((_xlfn.BITAND(P100,3840))/(2^8))</f>
        <v>6</v>
      </c>
      <c r="S102" s="13" t="str">
        <f>IF(R102&lt;16,CONCATENATE("0x0",(DEC2HEX(R102))),CONCATENATE("0x",(DEC2HEX(R102))))</f>
        <v>0x06</v>
      </c>
      <c r="T102" s="5" t="str">
        <f>DEC2BIN(R102,8)</f>
        <v>00000110</v>
      </c>
    </row>
    <row r="103" spans="4:20" x14ac:dyDescent="0.25">
      <c r="E103" s="73" t="s">
        <v>101</v>
      </c>
      <c r="F103" s="73"/>
      <c r="G103" s="73"/>
      <c r="H103" s="73"/>
      <c r="I103" s="73"/>
      <c r="J103" s="73"/>
      <c r="K103" s="73"/>
      <c r="L103" s="73"/>
      <c r="M103" s="1"/>
      <c r="P103" s="9"/>
      <c r="Q103" s="19"/>
      <c r="R103" s="19"/>
      <c r="S103" s="2"/>
      <c r="T103" s="1"/>
    </row>
    <row r="104" spans="4:20" x14ac:dyDescent="0.25">
      <c r="E104" s="75">
        <f>0.380481924339651*2</f>
        <v>0.760963848679302</v>
      </c>
      <c r="F104" s="75"/>
      <c r="G104" s="75"/>
      <c r="H104" s="75"/>
      <c r="I104" s="75"/>
      <c r="J104" s="75"/>
      <c r="K104" s="75"/>
      <c r="L104" s="75"/>
      <c r="M104" s="101" t="s">
        <v>5</v>
      </c>
      <c r="N104" s="76">
        <f>(P104*Variables!C1/Variables!C3)</f>
        <v>0.76087912087912091</v>
      </c>
      <c r="O104" s="105" t="s">
        <v>5</v>
      </c>
      <c r="P104" s="76">
        <f>(IF(E104&lt;0,0,IF(E104&gt;1.8,4095,ROUND(((E104*4095)/1.8),0))))</f>
        <v>1731</v>
      </c>
      <c r="Q104" s="2" t="s">
        <v>99</v>
      </c>
      <c r="R104" s="13">
        <f>_xlfn.BITAND(P104,255)</f>
        <v>195</v>
      </c>
      <c r="S104" s="27" t="str">
        <f>IF(R104&lt;16,CONCATENATE("0x0",(DEC2HEX(R104))),CONCATENATE("0x",(DEC2HEX(R104))))</f>
        <v>0xC3</v>
      </c>
      <c r="T104" s="5" t="str">
        <f>DEC2BIN(R104,8)</f>
        <v>11000011</v>
      </c>
    </row>
    <row r="105" spans="4:20" x14ac:dyDescent="0.25">
      <c r="D105" t="s">
        <v>205</v>
      </c>
      <c r="E105" s="75"/>
      <c r="F105" s="75"/>
      <c r="G105" s="75"/>
      <c r="H105" s="75"/>
      <c r="I105" s="75"/>
      <c r="J105" s="75"/>
      <c r="K105" s="75"/>
      <c r="L105" s="75"/>
      <c r="M105" s="101"/>
      <c r="N105" s="76"/>
      <c r="O105" s="105"/>
      <c r="P105" s="76"/>
      <c r="Q105" s="2"/>
      <c r="R105" s="1"/>
      <c r="S105" s="6"/>
      <c r="T105" s="1"/>
    </row>
    <row r="106" spans="4:20" x14ac:dyDescent="0.25">
      <c r="E106" s="75"/>
      <c r="F106" s="75"/>
      <c r="G106" s="75"/>
      <c r="H106" s="75"/>
      <c r="I106" s="75"/>
      <c r="J106" s="75"/>
      <c r="K106" s="75"/>
      <c r="L106" s="75"/>
      <c r="M106" s="101"/>
      <c r="N106" s="76"/>
      <c r="O106" s="105"/>
      <c r="P106" s="76"/>
      <c r="Q106" s="2" t="s">
        <v>105</v>
      </c>
      <c r="R106" s="13">
        <f>((_xlfn.BITAND(P104,3840))/(2^8))</f>
        <v>6</v>
      </c>
      <c r="S106" s="27" t="str">
        <f>IF(R106&lt;16,CONCATENATE("0x0",(DEC2HEX(R106))),CONCATENATE("0x",(DEC2HEX(R106))))</f>
        <v>0x06</v>
      </c>
      <c r="T106" s="5" t="str">
        <f>DEC2BIN(R106,8)</f>
        <v>00000110</v>
      </c>
    </row>
    <row r="107" spans="4:20" x14ac:dyDescent="0.25">
      <c r="E107" s="73" t="s">
        <v>106</v>
      </c>
      <c r="F107" s="73"/>
      <c r="G107" s="73"/>
      <c r="H107" s="73"/>
      <c r="I107" s="73"/>
      <c r="J107" s="73"/>
      <c r="K107" s="73"/>
      <c r="L107" s="73"/>
      <c r="M107" s="1"/>
      <c r="P107" s="9"/>
      <c r="Q107" s="19"/>
      <c r="R107" s="19"/>
      <c r="S107" s="2"/>
      <c r="T107" s="1"/>
    </row>
    <row r="108" spans="4:20" x14ac:dyDescent="0.25">
      <c r="E108" s="75">
        <f>0.2363*2</f>
        <v>0.47260000000000002</v>
      </c>
      <c r="F108" s="75"/>
      <c r="G108" s="75"/>
      <c r="H108" s="75"/>
      <c r="I108" s="75"/>
      <c r="J108" s="75"/>
      <c r="K108" s="75"/>
      <c r="L108" s="75"/>
      <c r="M108" s="101" t="s">
        <v>5</v>
      </c>
      <c r="N108" s="76">
        <f>(P108*Variables!C1/Variables!C3)</f>
        <v>0.47252747252747251</v>
      </c>
      <c r="O108" s="105" t="s">
        <v>5</v>
      </c>
      <c r="P108" s="76">
        <f>(IF(E108&lt;0,0,IF(E108&gt;1.8,4095,ROUND(((E108*4095)/1.8),0))))</f>
        <v>1075</v>
      </c>
      <c r="Q108" s="2" t="s">
        <v>103</v>
      </c>
      <c r="R108" s="13">
        <f>_xlfn.BITAND(P108,255)</f>
        <v>51</v>
      </c>
      <c r="S108" s="27" t="str">
        <f>IF(R108&lt;16,CONCATENATE("0x0",(DEC2HEX(R108))),CONCATENATE("0x",(DEC2HEX(R108))))</f>
        <v>0x33</v>
      </c>
      <c r="T108" s="5" t="str">
        <f>DEC2BIN(R108,8)</f>
        <v>00110011</v>
      </c>
    </row>
    <row r="109" spans="4:20" x14ac:dyDescent="0.25">
      <c r="D109" t="s">
        <v>206</v>
      </c>
      <c r="E109" s="75"/>
      <c r="F109" s="75"/>
      <c r="G109" s="75"/>
      <c r="H109" s="75"/>
      <c r="I109" s="75"/>
      <c r="J109" s="75"/>
      <c r="K109" s="75"/>
      <c r="L109" s="75"/>
      <c r="M109" s="101"/>
      <c r="N109" s="76"/>
      <c r="O109" s="105"/>
      <c r="P109" s="76"/>
      <c r="Q109" s="2"/>
      <c r="R109" s="1"/>
      <c r="S109" s="6"/>
      <c r="T109" s="1"/>
    </row>
    <row r="110" spans="4:20" x14ac:dyDescent="0.25">
      <c r="E110" s="75"/>
      <c r="F110" s="75"/>
      <c r="G110" s="75"/>
      <c r="H110" s="75"/>
      <c r="I110" s="75"/>
      <c r="J110" s="75"/>
      <c r="K110" s="75"/>
      <c r="L110" s="75"/>
      <c r="M110" s="101"/>
      <c r="N110" s="76"/>
      <c r="O110" s="105"/>
      <c r="P110" s="76"/>
      <c r="Q110" s="2" t="s">
        <v>104</v>
      </c>
      <c r="R110" s="13">
        <f>((_xlfn.BITAND(P108,3840))/(2^8))</f>
        <v>4</v>
      </c>
      <c r="S110" s="27" t="str">
        <f>IF(R110&lt;16,CONCATENATE("0x0",(DEC2HEX(R110))),CONCATENATE("0x",(DEC2HEX(R110))))</f>
        <v>0x04</v>
      </c>
      <c r="T110" s="5" t="str">
        <f>DEC2BIN(R110,8)</f>
        <v>00000100</v>
      </c>
    </row>
    <row r="111" spans="4:20" x14ac:dyDescent="0.25">
      <c r="E111" s="73" t="s">
        <v>102</v>
      </c>
      <c r="F111" s="73"/>
      <c r="G111" s="73"/>
      <c r="H111" s="73"/>
      <c r="I111" s="73"/>
      <c r="J111" s="73"/>
      <c r="K111" s="73"/>
      <c r="L111" s="73"/>
      <c r="M111" s="1"/>
      <c r="P111" s="9"/>
      <c r="Q111" s="19"/>
      <c r="R111" s="19"/>
      <c r="S111" s="2"/>
      <c r="T111" s="1"/>
    </row>
    <row r="112" spans="4:20" x14ac:dyDescent="0.25">
      <c r="E112" s="75">
        <f>0.2683*2</f>
        <v>0.53659999999999997</v>
      </c>
      <c r="F112" s="75"/>
      <c r="G112" s="75"/>
      <c r="H112" s="75"/>
      <c r="I112" s="75"/>
      <c r="J112" s="75"/>
      <c r="K112" s="75"/>
      <c r="L112" s="75"/>
      <c r="M112" s="101" t="s">
        <v>5</v>
      </c>
      <c r="N112" s="76">
        <f>(P112*Variables!C1/Variables!C3)</f>
        <v>0.53670329670329675</v>
      </c>
      <c r="O112" s="105" t="s">
        <v>5</v>
      </c>
      <c r="P112" s="76">
        <f>(IF(E112&lt;0,0,IF(E112&gt;1.8,4095,ROUND(((E112*4095)/1.8),0))))</f>
        <v>1221</v>
      </c>
      <c r="Q112" s="2" t="s">
        <v>107</v>
      </c>
      <c r="R112" s="13">
        <f>_xlfn.BITAND(P112,255)</f>
        <v>197</v>
      </c>
      <c r="S112" s="27" t="str">
        <f>IF(R112&lt;16,CONCATENATE("0x0",(DEC2HEX(R112))),CONCATENATE("0x",(DEC2HEX(R112))))</f>
        <v>0xC5</v>
      </c>
      <c r="T112" s="5" t="str">
        <f>DEC2BIN(R112,8)</f>
        <v>11000101</v>
      </c>
    </row>
    <row r="113" spans="4:20" x14ac:dyDescent="0.25">
      <c r="D113" t="s">
        <v>207</v>
      </c>
      <c r="E113" s="75"/>
      <c r="F113" s="75"/>
      <c r="G113" s="75"/>
      <c r="H113" s="75"/>
      <c r="I113" s="75"/>
      <c r="J113" s="75"/>
      <c r="K113" s="75"/>
      <c r="L113" s="75"/>
      <c r="M113" s="101"/>
      <c r="N113" s="76"/>
      <c r="O113" s="105"/>
      <c r="P113" s="76"/>
      <c r="Q113" s="2"/>
      <c r="R113" s="1"/>
      <c r="S113" s="6"/>
      <c r="T113" s="1"/>
    </row>
    <row r="114" spans="4:20" x14ac:dyDescent="0.25">
      <c r="E114" s="75"/>
      <c r="F114" s="75"/>
      <c r="G114" s="75"/>
      <c r="H114" s="75"/>
      <c r="I114" s="75"/>
      <c r="J114" s="75"/>
      <c r="K114" s="75"/>
      <c r="L114" s="75"/>
      <c r="M114" s="101"/>
      <c r="N114" s="76"/>
      <c r="O114" s="105"/>
      <c r="P114" s="76"/>
      <c r="Q114" s="2" t="s">
        <v>108</v>
      </c>
      <c r="R114" s="13">
        <f>((_xlfn.BITAND(P112,3840))/(2^8))</f>
        <v>4</v>
      </c>
      <c r="S114" s="27" t="str">
        <f>IF(R114&lt;16,CONCATENATE("0x0",(DEC2HEX(R114))),CONCATENATE("0x",(DEC2HEX(R114))))</f>
        <v>0x04</v>
      </c>
      <c r="T114" s="5" t="str">
        <f>DEC2BIN(R114,8)</f>
        <v>00000100</v>
      </c>
    </row>
    <row r="115" spans="4:20" x14ac:dyDescent="0.25">
      <c r="E115" s="73" t="s">
        <v>109</v>
      </c>
      <c r="F115" s="73"/>
      <c r="G115" s="73"/>
      <c r="H115" s="73"/>
      <c r="I115" s="73"/>
      <c r="J115" s="73"/>
      <c r="K115" s="73"/>
      <c r="L115" s="73"/>
      <c r="M115" s="1"/>
      <c r="P115" s="9"/>
      <c r="Q115" s="19"/>
      <c r="R115" s="19"/>
      <c r="S115" s="2"/>
      <c r="T115" s="1"/>
    </row>
    <row r="116" spans="4:20" x14ac:dyDescent="0.25">
      <c r="E116" s="75">
        <f>0.6564*2</f>
        <v>1.3128</v>
      </c>
      <c r="F116" s="75"/>
      <c r="G116" s="75"/>
      <c r="H116" s="75"/>
      <c r="I116" s="75"/>
      <c r="J116" s="75"/>
      <c r="K116" s="75"/>
      <c r="L116" s="75"/>
      <c r="M116" s="101" t="s">
        <v>5</v>
      </c>
      <c r="N116" s="76">
        <f>(P116*Variables!C1/Variables!C3)</f>
        <v>1.3129670329670331</v>
      </c>
      <c r="O116" s="105" t="s">
        <v>5</v>
      </c>
      <c r="P116" s="76">
        <f>(IF(E116&lt;0,0,IF(E116&gt;1.8,4095,ROUND(((E116*4095)/1.8),0))))</f>
        <v>2987</v>
      </c>
      <c r="Q116" s="2" t="s">
        <v>110</v>
      </c>
      <c r="R116" s="13">
        <f>_xlfn.BITAND(P116,255)</f>
        <v>171</v>
      </c>
      <c r="S116" s="27" t="str">
        <f>IF(R116&lt;16,CONCATENATE("0x0",(DEC2HEX(R116))),CONCATENATE("0x",(DEC2HEX(R116))))</f>
        <v>0xAB</v>
      </c>
      <c r="T116" s="5" t="str">
        <f>DEC2BIN(R116,8)</f>
        <v>10101011</v>
      </c>
    </row>
    <row r="117" spans="4:20" x14ac:dyDescent="0.25">
      <c r="D117" t="s">
        <v>208</v>
      </c>
      <c r="E117" s="75"/>
      <c r="F117" s="75"/>
      <c r="G117" s="75"/>
      <c r="H117" s="75"/>
      <c r="I117" s="75"/>
      <c r="J117" s="75"/>
      <c r="K117" s="75"/>
      <c r="L117" s="75"/>
      <c r="M117" s="101"/>
      <c r="N117" s="76"/>
      <c r="O117" s="105"/>
      <c r="P117" s="76"/>
      <c r="Q117" s="2"/>
      <c r="R117" s="1"/>
      <c r="S117" s="6"/>
      <c r="T117" s="1"/>
    </row>
    <row r="118" spans="4:20" x14ac:dyDescent="0.25">
      <c r="E118" s="75"/>
      <c r="F118" s="75"/>
      <c r="G118" s="75"/>
      <c r="H118" s="75"/>
      <c r="I118" s="75"/>
      <c r="J118" s="75"/>
      <c r="K118" s="75"/>
      <c r="L118" s="75"/>
      <c r="M118" s="101"/>
      <c r="N118" s="76"/>
      <c r="O118" s="105"/>
      <c r="P118" s="76"/>
      <c r="Q118" s="2" t="s">
        <v>111</v>
      </c>
      <c r="R118" s="13">
        <f>((_xlfn.BITAND(P116,3840))/(2^8))</f>
        <v>11</v>
      </c>
      <c r="S118" s="27" t="str">
        <f>IF(R118&lt;16,CONCATENATE("0x0",(DEC2HEX(R118))),CONCATENATE("0x",(DEC2HEX(R118))))</f>
        <v>0x0B</v>
      </c>
      <c r="T118" s="5" t="str">
        <f>DEC2BIN(R118,8)</f>
        <v>00001011</v>
      </c>
    </row>
    <row r="119" spans="4:20" x14ac:dyDescent="0.25">
      <c r="E119" s="73" t="s">
        <v>112</v>
      </c>
      <c r="F119" s="73"/>
      <c r="G119" s="73"/>
      <c r="H119" s="73"/>
      <c r="I119" s="73"/>
      <c r="J119" s="73"/>
      <c r="K119" s="73"/>
      <c r="L119" s="73"/>
      <c r="M119" s="1"/>
      <c r="P119" s="9"/>
      <c r="Q119" s="19"/>
      <c r="R119" s="19"/>
      <c r="S119" s="2"/>
      <c r="T119" s="1"/>
    </row>
    <row r="120" spans="4:20" x14ac:dyDescent="0.25">
      <c r="E120" s="75">
        <f>0.6453*2</f>
        <v>1.2906</v>
      </c>
      <c r="F120" s="75"/>
      <c r="G120" s="75"/>
      <c r="H120" s="75"/>
      <c r="I120" s="75"/>
      <c r="J120" s="75"/>
      <c r="K120" s="75"/>
      <c r="L120" s="75"/>
      <c r="M120" s="101" t="s">
        <v>5</v>
      </c>
      <c r="N120" s="76">
        <f>(P120*Variables!C1/Variables!C3)</f>
        <v>1.2905494505494506</v>
      </c>
      <c r="O120" s="105" t="s">
        <v>5</v>
      </c>
      <c r="P120" s="76">
        <f>(IF(E120&lt;0,0,IF(E120&gt;1.8,4095,ROUND(((E120*4095)/1.8),0))))</f>
        <v>2936</v>
      </c>
      <c r="Q120" s="2" t="s">
        <v>113</v>
      </c>
      <c r="R120" s="13">
        <f>_xlfn.BITAND(P120,255)</f>
        <v>120</v>
      </c>
      <c r="S120" s="27" t="str">
        <f>IF(R120&lt;16,CONCATENATE("0x0",(DEC2HEX(R120))),CONCATENATE("0x",(DEC2HEX(R120))))</f>
        <v>0x78</v>
      </c>
      <c r="T120" s="5" t="str">
        <f>DEC2BIN(R120,8)</f>
        <v>01111000</v>
      </c>
    </row>
    <row r="121" spans="4:20" x14ac:dyDescent="0.25">
      <c r="D121" t="s">
        <v>209</v>
      </c>
      <c r="E121" s="75"/>
      <c r="F121" s="75"/>
      <c r="G121" s="75"/>
      <c r="H121" s="75"/>
      <c r="I121" s="75"/>
      <c r="J121" s="75"/>
      <c r="K121" s="75"/>
      <c r="L121" s="75"/>
      <c r="M121" s="101"/>
      <c r="N121" s="76"/>
      <c r="O121" s="105"/>
      <c r="P121" s="76"/>
      <c r="Q121" s="2"/>
      <c r="R121" s="1"/>
      <c r="S121" s="6"/>
      <c r="T121" s="1"/>
    </row>
    <row r="122" spans="4:20" x14ac:dyDescent="0.25">
      <c r="E122" s="75"/>
      <c r="F122" s="75"/>
      <c r="G122" s="75"/>
      <c r="H122" s="75"/>
      <c r="I122" s="75"/>
      <c r="J122" s="75"/>
      <c r="K122" s="75"/>
      <c r="L122" s="75"/>
      <c r="M122" s="101"/>
      <c r="N122" s="76"/>
      <c r="O122" s="105"/>
      <c r="P122" s="76"/>
      <c r="Q122" s="2" t="s">
        <v>114</v>
      </c>
      <c r="R122" s="13">
        <f>((_xlfn.BITAND(P120,3840))/(2^8))</f>
        <v>11</v>
      </c>
      <c r="S122" s="27" t="str">
        <f>IF(R122&lt;16,CONCATENATE("0x0",(DEC2HEX(R122))),CONCATENATE("0x",(DEC2HEX(R122))))</f>
        <v>0x0B</v>
      </c>
      <c r="T122" s="5" t="str">
        <f>DEC2BIN(R122,8)</f>
        <v>00001011</v>
      </c>
    </row>
    <row r="123" spans="4:20" x14ac:dyDescent="0.25">
      <c r="E123" s="73" t="s">
        <v>115</v>
      </c>
      <c r="F123" s="73"/>
      <c r="G123" s="73"/>
      <c r="H123" s="73"/>
      <c r="I123" s="73"/>
      <c r="J123" s="73"/>
      <c r="K123" s="73"/>
      <c r="L123" s="73"/>
      <c r="M123" s="1"/>
      <c r="P123" s="9"/>
      <c r="Q123" s="19"/>
      <c r="R123" s="19"/>
      <c r="S123" s="2"/>
      <c r="T123" s="1"/>
    </row>
    <row r="124" spans="4:20" x14ac:dyDescent="0.25">
      <c r="E124" s="75">
        <f>0.2363*2</f>
        <v>0.47260000000000002</v>
      </c>
      <c r="F124" s="75"/>
      <c r="G124" s="75"/>
      <c r="H124" s="75"/>
      <c r="I124" s="75"/>
      <c r="J124" s="75"/>
      <c r="K124" s="75"/>
      <c r="L124" s="75"/>
      <c r="M124" s="101" t="s">
        <v>5</v>
      </c>
      <c r="N124" s="76">
        <f>(P124*Variables!C1/Variables!C3)</f>
        <v>0.47252747252747251</v>
      </c>
      <c r="O124" s="105" t="s">
        <v>5</v>
      </c>
      <c r="P124" s="76">
        <f>(IF(E124&lt;0,0,IF(E124&gt;1.8,4095,ROUND(((E124*4095)/1.8),0))))</f>
        <v>1075</v>
      </c>
      <c r="Q124" s="2" t="s">
        <v>116</v>
      </c>
      <c r="R124" s="13">
        <f>_xlfn.BITAND(P124,255)</f>
        <v>51</v>
      </c>
      <c r="S124" s="27" t="str">
        <f>IF(R124&lt;16,CONCATENATE("0x0",(DEC2HEX(R124))),CONCATENATE("0x",(DEC2HEX(R124))))</f>
        <v>0x33</v>
      </c>
      <c r="T124" s="5" t="str">
        <f>DEC2BIN(R124,8)</f>
        <v>00110011</v>
      </c>
    </row>
    <row r="125" spans="4:20" x14ac:dyDescent="0.25">
      <c r="D125" t="s">
        <v>206</v>
      </c>
      <c r="E125" s="75"/>
      <c r="F125" s="75"/>
      <c r="G125" s="75"/>
      <c r="H125" s="75"/>
      <c r="I125" s="75"/>
      <c r="J125" s="75"/>
      <c r="K125" s="75"/>
      <c r="L125" s="75"/>
      <c r="M125" s="101"/>
      <c r="N125" s="76"/>
      <c r="O125" s="105"/>
      <c r="P125" s="76"/>
      <c r="Q125" s="2"/>
      <c r="R125" s="1"/>
      <c r="S125" s="6"/>
      <c r="T125" s="1"/>
    </row>
    <row r="126" spans="4:20" x14ac:dyDescent="0.25">
      <c r="E126" s="75"/>
      <c r="F126" s="75"/>
      <c r="G126" s="75"/>
      <c r="H126" s="75"/>
      <c r="I126" s="75"/>
      <c r="J126" s="75"/>
      <c r="K126" s="75"/>
      <c r="L126" s="75"/>
      <c r="M126" s="101"/>
      <c r="N126" s="76"/>
      <c r="O126" s="105"/>
      <c r="P126" s="76"/>
      <c r="Q126" s="2" t="s">
        <v>117</v>
      </c>
      <c r="R126" s="13">
        <f>((_xlfn.BITAND(P124,3840))/(2^8))</f>
        <v>4</v>
      </c>
      <c r="S126" s="27" t="str">
        <f>IF(R126&lt;16,CONCATENATE("0x0",(DEC2HEX(R126))),CONCATENATE("0x",(DEC2HEX(R126))))</f>
        <v>0x04</v>
      </c>
      <c r="T126" s="5" t="str">
        <f>DEC2BIN(R126,8)</f>
        <v>00000100</v>
      </c>
    </row>
    <row r="127" spans="4:20" x14ac:dyDescent="0.25">
      <c r="E127" s="73" t="s">
        <v>118</v>
      </c>
      <c r="F127" s="73"/>
      <c r="G127" s="73"/>
      <c r="H127" s="73"/>
      <c r="I127" s="73"/>
      <c r="J127" s="73"/>
      <c r="K127" s="73"/>
      <c r="L127" s="73"/>
      <c r="M127" s="1"/>
      <c r="P127" s="9"/>
      <c r="Q127" s="19"/>
      <c r="R127" s="19"/>
      <c r="S127" s="2"/>
      <c r="T127" s="1"/>
    </row>
    <row r="128" spans="4:20" x14ac:dyDescent="0.25">
      <c r="E128" s="75">
        <f>0.2683*2</f>
        <v>0.53659999999999997</v>
      </c>
      <c r="F128" s="75"/>
      <c r="G128" s="75"/>
      <c r="H128" s="75"/>
      <c r="I128" s="75"/>
      <c r="J128" s="75"/>
      <c r="K128" s="75"/>
      <c r="L128" s="75"/>
      <c r="M128" s="101" t="s">
        <v>5</v>
      </c>
      <c r="N128" s="76">
        <f>(P128*Variables!C1/Variables!C3)</f>
        <v>0.53670329670329675</v>
      </c>
      <c r="O128" s="105" t="s">
        <v>5</v>
      </c>
      <c r="P128" s="76">
        <f>(IF(E128&lt;0,0,IF(E128&gt;1.8,4095,ROUND(((E128*4095)/1.8),0))))</f>
        <v>1221</v>
      </c>
      <c r="Q128" s="2" t="s">
        <v>119</v>
      </c>
      <c r="R128" s="13">
        <f>_xlfn.BITAND(P128,255)</f>
        <v>197</v>
      </c>
      <c r="S128" s="27" t="str">
        <f>IF(R128&lt;16,CONCATENATE("0x0",(DEC2HEX(R128))),CONCATENATE("0x",(DEC2HEX(R128))))</f>
        <v>0xC5</v>
      </c>
      <c r="T128" s="5" t="str">
        <f>DEC2BIN(R128,8)</f>
        <v>11000101</v>
      </c>
    </row>
    <row r="129" spans="4:20" x14ac:dyDescent="0.25">
      <c r="D129" t="s">
        <v>207</v>
      </c>
      <c r="E129" s="75"/>
      <c r="F129" s="75"/>
      <c r="G129" s="75"/>
      <c r="H129" s="75"/>
      <c r="I129" s="75"/>
      <c r="J129" s="75"/>
      <c r="K129" s="75"/>
      <c r="L129" s="75"/>
      <c r="M129" s="101"/>
      <c r="N129" s="76"/>
      <c r="O129" s="105"/>
      <c r="P129" s="76"/>
      <c r="Q129" s="2"/>
      <c r="R129" s="1"/>
      <c r="S129" s="6"/>
      <c r="T129" s="1"/>
    </row>
    <row r="130" spans="4:20" x14ac:dyDescent="0.25">
      <c r="E130" s="75"/>
      <c r="F130" s="75"/>
      <c r="G130" s="75"/>
      <c r="H130" s="75"/>
      <c r="I130" s="75"/>
      <c r="J130" s="75"/>
      <c r="K130" s="75"/>
      <c r="L130" s="75"/>
      <c r="M130" s="101"/>
      <c r="N130" s="76"/>
      <c r="O130" s="105"/>
      <c r="P130" s="76"/>
      <c r="Q130" s="2" t="s">
        <v>120</v>
      </c>
      <c r="R130" s="13">
        <f>((_xlfn.BITAND(P128,3840))/(2^8))</f>
        <v>4</v>
      </c>
      <c r="S130" s="27" t="str">
        <f>IF(R130&lt;16,CONCATENATE("0x0",(DEC2HEX(R130))),CONCATENATE("0x",(DEC2HEX(R130))))</f>
        <v>0x04</v>
      </c>
      <c r="T130" s="5" t="str">
        <f>DEC2BIN(R130,8)</f>
        <v>00000100</v>
      </c>
    </row>
    <row r="131" spans="4:20" x14ac:dyDescent="0.25">
      <c r="E131" s="73" t="s">
        <v>123</v>
      </c>
      <c r="F131" s="73"/>
      <c r="G131" s="73"/>
      <c r="H131" s="73"/>
      <c r="I131" s="73"/>
      <c r="J131" s="73"/>
      <c r="K131" s="73"/>
      <c r="L131" s="73"/>
      <c r="M131" s="1"/>
      <c r="P131" s="9"/>
      <c r="Q131" s="19"/>
      <c r="R131" s="19"/>
      <c r="S131" s="2"/>
      <c r="T131" s="1"/>
    </row>
    <row r="132" spans="4:20" x14ac:dyDescent="0.25">
      <c r="E132" s="75">
        <f>0.6564*2</f>
        <v>1.3128</v>
      </c>
      <c r="F132" s="75"/>
      <c r="G132" s="75"/>
      <c r="H132" s="75"/>
      <c r="I132" s="75"/>
      <c r="J132" s="75"/>
      <c r="K132" s="75"/>
      <c r="L132" s="75"/>
      <c r="M132" s="101" t="s">
        <v>5</v>
      </c>
      <c r="N132" s="76">
        <f>(P132*Variables!C1/Variables!C3)</f>
        <v>1.3129670329670331</v>
      </c>
      <c r="O132" s="105" t="s">
        <v>5</v>
      </c>
      <c r="P132" s="76">
        <f>(IF(E132&lt;0,0,IF(E132&gt;1.8,4095,ROUND(((E132*4095)/1.8),0))))</f>
        <v>2987</v>
      </c>
      <c r="Q132" s="2" t="s">
        <v>121</v>
      </c>
      <c r="R132" s="13">
        <f>_xlfn.BITAND(P132,255)</f>
        <v>171</v>
      </c>
      <c r="S132" s="27" t="str">
        <f>IF(R132&lt;16,CONCATENATE("0x0",(DEC2HEX(R132))),CONCATENATE("0x",(DEC2HEX(R132))))</f>
        <v>0xAB</v>
      </c>
      <c r="T132" s="5" t="str">
        <f>DEC2BIN(R132,8)</f>
        <v>10101011</v>
      </c>
    </row>
    <row r="133" spans="4:20" x14ac:dyDescent="0.25">
      <c r="D133" t="s">
        <v>208</v>
      </c>
      <c r="E133" s="75"/>
      <c r="F133" s="75"/>
      <c r="G133" s="75"/>
      <c r="H133" s="75"/>
      <c r="I133" s="75"/>
      <c r="J133" s="75"/>
      <c r="K133" s="75"/>
      <c r="L133" s="75"/>
      <c r="M133" s="101"/>
      <c r="N133" s="76"/>
      <c r="O133" s="105"/>
      <c r="P133" s="76"/>
      <c r="Q133" s="2"/>
      <c r="R133" s="1"/>
      <c r="S133" s="6"/>
      <c r="T133" s="1"/>
    </row>
    <row r="134" spans="4:20" x14ac:dyDescent="0.25">
      <c r="E134" s="75"/>
      <c r="F134" s="75"/>
      <c r="G134" s="75"/>
      <c r="H134" s="75"/>
      <c r="I134" s="75"/>
      <c r="J134" s="75"/>
      <c r="K134" s="75"/>
      <c r="L134" s="75"/>
      <c r="M134" s="101"/>
      <c r="N134" s="76"/>
      <c r="O134" s="105"/>
      <c r="P134" s="76"/>
      <c r="Q134" s="2" t="s">
        <v>122</v>
      </c>
      <c r="R134" s="13">
        <f>((_xlfn.BITAND(P132,3840))/(2^8))</f>
        <v>11</v>
      </c>
      <c r="S134" s="27" t="str">
        <f>IF(R134&lt;16,CONCATENATE("0x0",(DEC2HEX(R134))),CONCATENATE("0x",(DEC2HEX(R134))))</f>
        <v>0x0B</v>
      </c>
      <c r="T134" s="5" t="str">
        <f>DEC2BIN(R134,8)</f>
        <v>00001011</v>
      </c>
    </row>
    <row r="135" spans="4:20" x14ac:dyDescent="0.25">
      <c r="E135" s="73" t="s">
        <v>124</v>
      </c>
      <c r="F135" s="73"/>
      <c r="G135" s="73"/>
      <c r="H135" s="73"/>
      <c r="I135" s="73"/>
      <c r="J135" s="73"/>
      <c r="K135" s="73"/>
      <c r="L135" s="73"/>
      <c r="M135" s="1"/>
      <c r="P135" s="9"/>
      <c r="Q135" s="19"/>
      <c r="R135" s="19"/>
      <c r="S135" s="2"/>
      <c r="T135" s="1"/>
    </row>
    <row r="136" spans="4:20" x14ac:dyDescent="0.25">
      <c r="E136" s="75">
        <f>0.6453*2</f>
        <v>1.2906</v>
      </c>
      <c r="F136" s="75"/>
      <c r="G136" s="75"/>
      <c r="H136" s="75"/>
      <c r="I136" s="75"/>
      <c r="J136" s="75"/>
      <c r="K136" s="75"/>
      <c r="L136" s="75"/>
      <c r="M136" s="101" t="s">
        <v>5</v>
      </c>
      <c r="N136" s="76">
        <f>(P136*Variables!C1/Variables!C3)</f>
        <v>1.2905494505494506</v>
      </c>
      <c r="O136" s="105" t="s">
        <v>5</v>
      </c>
      <c r="P136" s="76">
        <f>(IF(E136&lt;0,0,IF(E136&gt;1.8,4095,ROUND(((E136*4095)/1.8),0))))</f>
        <v>2936</v>
      </c>
      <c r="Q136" s="2" t="s">
        <v>125</v>
      </c>
      <c r="R136" s="13">
        <f>_xlfn.BITAND(P136,255)</f>
        <v>120</v>
      </c>
      <c r="S136" s="27" t="str">
        <f>IF(R136&lt;16,CONCATENATE("0x0",(DEC2HEX(R136))),CONCATENATE("0x",(DEC2HEX(R136))))</f>
        <v>0x78</v>
      </c>
      <c r="T136" s="5" t="str">
        <f>DEC2BIN(R136,8)</f>
        <v>01111000</v>
      </c>
    </row>
    <row r="137" spans="4:20" x14ac:dyDescent="0.25">
      <c r="D137" t="s">
        <v>209</v>
      </c>
      <c r="E137" s="75"/>
      <c r="F137" s="75"/>
      <c r="G137" s="75"/>
      <c r="H137" s="75"/>
      <c r="I137" s="75"/>
      <c r="J137" s="75"/>
      <c r="K137" s="75"/>
      <c r="L137" s="75"/>
      <c r="M137" s="101"/>
      <c r="N137" s="76"/>
      <c r="O137" s="105"/>
      <c r="P137" s="76"/>
      <c r="Q137" s="2"/>
      <c r="R137" s="1"/>
      <c r="S137" s="6"/>
      <c r="T137" s="1"/>
    </row>
    <row r="138" spans="4:20" x14ac:dyDescent="0.25">
      <c r="E138" s="75"/>
      <c r="F138" s="75"/>
      <c r="G138" s="75"/>
      <c r="H138" s="75"/>
      <c r="I138" s="75"/>
      <c r="J138" s="75"/>
      <c r="K138" s="75"/>
      <c r="L138" s="75"/>
      <c r="M138" s="101"/>
      <c r="N138" s="76"/>
      <c r="O138" s="105"/>
      <c r="P138" s="76"/>
      <c r="Q138" s="2" t="s">
        <v>126</v>
      </c>
      <c r="R138" s="13">
        <f>((_xlfn.BITAND(P136,3840))/(2^8))</f>
        <v>11</v>
      </c>
      <c r="S138" s="27" t="str">
        <f>IF(R138&lt;16,CONCATENATE("0x0",(DEC2HEX(R138))),CONCATENATE("0x",(DEC2HEX(R138))))</f>
        <v>0x0B</v>
      </c>
      <c r="T138" s="5" t="str">
        <f>DEC2BIN(R138,8)</f>
        <v>00001011</v>
      </c>
    </row>
    <row r="139" spans="4:20" x14ac:dyDescent="0.25">
      <c r="E139" s="73" t="s">
        <v>127</v>
      </c>
      <c r="F139" s="73"/>
      <c r="G139" s="73"/>
      <c r="H139" s="73"/>
      <c r="I139" s="73"/>
      <c r="J139" s="73"/>
      <c r="K139" s="73"/>
      <c r="L139" s="73"/>
      <c r="M139" s="1"/>
      <c r="P139" s="9"/>
      <c r="Q139" s="19"/>
      <c r="R139" s="19"/>
      <c r="S139" s="2"/>
      <c r="T139" s="1"/>
    </row>
    <row r="140" spans="4:20" x14ac:dyDescent="0.25">
      <c r="E140" s="59">
        <v>0.71912100000000001</v>
      </c>
      <c r="F140" s="60"/>
      <c r="G140" s="60"/>
      <c r="H140" s="60"/>
      <c r="I140" s="60"/>
      <c r="J140" s="60"/>
      <c r="K140" s="60"/>
      <c r="L140" s="61"/>
      <c r="M140" s="101" t="s">
        <v>5</v>
      </c>
      <c r="N140" s="76">
        <f>(P140*Variables!C1/Variables!C3)</f>
        <v>0.71912087912087919</v>
      </c>
      <c r="O140" s="105" t="s">
        <v>5</v>
      </c>
      <c r="P140" s="76">
        <f>(IF(E140&lt;0,0,IF(E140&gt;1.8,4095,ROUND(((E140*4095)/1.8),0))))</f>
        <v>1636</v>
      </c>
      <c r="Q140" s="2" t="s">
        <v>128</v>
      </c>
      <c r="R140" s="13">
        <f>_xlfn.BITAND(P140,255)</f>
        <v>100</v>
      </c>
      <c r="S140" s="27" t="str">
        <f>IF(R140&lt;16,CONCATENATE("0x0",(DEC2HEX(R140))),CONCATENATE("0x",(DEC2HEX(R140))))</f>
        <v>0x64</v>
      </c>
      <c r="T140" s="5" t="str">
        <f>DEC2BIN(R140,8)</f>
        <v>01100100</v>
      </c>
    </row>
    <row r="141" spans="4:20" x14ac:dyDescent="0.25">
      <c r="E141" s="83"/>
      <c r="F141" s="84"/>
      <c r="G141" s="84"/>
      <c r="H141" s="84"/>
      <c r="I141" s="84"/>
      <c r="J141" s="84"/>
      <c r="K141" s="84"/>
      <c r="L141" s="85"/>
      <c r="M141" s="101"/>
      <c r="N141" s="76"/>
      <c r="O141" s="105"/>
      <c r="P141" s="76"/>
      <c r="Q141" s="2"/>
      <c r="R141" s="1"/>
      <c r="S141" s="6"/>
      <c r="T141" s="1"/>
    </row>
    <row r="142" spans="4:20" x14ac:dyDescent="0.25">
      <c r="E142" s="62"/>
      <c r="F142" s="63"/>
      <c r="G142" s="63"/>
      <c r="H142" s="63"/>
      <c r="I142" s="63"/>
      <c r="J142" s="63"/>
      <c r="K142" s="63"/>
      <c r="L142" s="64"/>
      <c r="M142" s="101"/>
      <c r="N142" s="76"/>
      <c r="O142" s="105"/>
      <c r="P142" s="76"/>
      <c r="Q142" s="2" t="s">
        <v>129</v>
      </c>
      <c r="R142" s="13">
        <f>((_xlfn.BITAND(P140,3840))/(2^8))</f>
        <v>6</v>
      </c>
      <c r="S142" s="27" t="str">
        <f>IF(R142&lt;16,CONCATENATE("0x0",(DEC2HEX(R142))),CONCATENATE("0x",(DEC2HEX(R142))))</f>
        <v>0x06</v>
      </c>
      <c r="T142" s="5" t="str">
        <f>DEC2BIN(R142,8)</f>
        <v>00000110</v>
      </c>
    </row>
    <row r="143" spans="4:20" x14ac:dyDescent="0.25">
      <c r="E143" s="73" t="s">
        <v>130</v>
      </c>
      <c r="F143" s="73"/>
      <c r="G143" s="73"/>
      <c r="H143" s="73"/>
      <c r="I143" s="73"/>
      <c r="J143" s="73"/>
      <c r="K143" s="73"/>
      <c r="L143" s="73"/>
      <c r="M143" s="1"/>
      <c r="P143" s="9"/>
      <c r="Q143" s="19"/>
      <c r="R143" s="19"/>
      <c r="S143" s="2"/>
      <c r="T143" s="1"/>
    </row>
    <row r="144" spans="4:20" x14ac:dyDescent="0.25">
      <c r="E144" s="75">
        <v>0.68219799999999997</v>
      </c>
      <c r="F144" s="75"/>
      <c r="G144" s="75"/>
      <c r="H144" s="75"/>
      <c r="I144" s="75"/>
      <c r="J144" s="75"/>
      <c r="K144" s="75"/>
      <c r="L144" s="75"/>
      <c r="M144" s="101" t="s">
        <v>5</v>
      </c>
      <c r="N144" s="76">
        <f>(P144*Variables!C1/Variables!C3)</f>
        <v>0.68219780219780213</v>
      </c>
      <c r="O144" s="105" t="s">
        <v>5</v>
      </c>
      <c r="P144" s="76">
        <f>(IF(E144&lt;0,0,IF(E144&gt;1.8,4095,ROUND(((E144*4095)/1.8),0))))</f>
        <v>1552</v>
      </c>
      <c r="Q144" s="2" t="s">
        <v>131</v>
      </c>
      <c r="R144" s="13">
        <f>_xlfn.BITAND(P144,255)</f>
        <v>16</v>
      </c>
      <c r="S144" s="27" t="str">
        <f>IF(R144&lt;16,CONCATENATE("0x0",(DEC2HEX(R144))),CONCATENATE("0x",(DEC2HEX(R144))))</f>
        <v>0x10</v>
      </c>
      <c r="T144" s="5" t="str">
        <f>DEC2BIN(R144,8)</f>
        <v>00010000</v>
      </c>
    </row>
    <row r="145" spans="2:20" x14ac:dyDescent="0.25">
      <c r="E145" s="75"/>
      <c r="F145" s="75"/>
      <c r="G145" s="75"/>
      <c r="H145" s="75"/>
      <c r="I145" s="75"/>
      <c r="J145" s="75"/>
      <c r="K145" s="75"/>
      <c r="L145" s="75"/>
      <c r="M145" s="101"/>
      <c r="N145" s="76"/>
      <c r="O145" s="105"/>
      <c r="P145" s="76"/>
      <c r="Q145" s="2"/>
      <c r="R145" s="1"/>
      <c r="S145" s="6"/>
      <c r="T145" s="1"/>
    </row>
    <row r="146" spans="2:20" x14ac:dyDescent="0.25">
      <c r="E146" s="75"/>
      <c r="F146" s="75"/>
      <c r="G146" s="75"/>
      <c r="H146" s="75"/>
      <c r="I146" s="75"/>
      <c r="J146" s="75"/>
      <c r="K146" s="75"/>
      <c r="L146" s="75"/>
      <c r="M146" s="101"/>
      <c r="N146" s="76"/>
      <c r="O146" s="105"/>
      <c r="P146" s="76"/>
      <c r="Q146" s="2" t="s">
        <v>132</v>
      </c>
      <c r="R146" s="13">
        <f>((_xlfn.BITAND(P144,3840))/(2^8))</f>
        <v>6</v>
      </c>
      <c r="S146" s="27" t="str">
        <f>IF(R146&lt;16,CONCATENATE("0x0",(DEC2HEX(R146))),CONCATENATE("0x",(DEC2HEX(R146))))</f>
        <v>0x06</v>
      </c>
      <c r="T146" s="5" t="str">
        <f>DEC2BIN(R146,8)</f>
        <v>00000110</v>
      </c>
    </row>
    <row r="147" spans="2:20" x14ac:dyDescent="0.25">
      <c r="E147" s="57" t="s">
        <v>135</v>
      </c>
      <c r="F147" s="57"/>
      <c r="G147" s="57"/>
      <c r="H147" s="57"/>
      <c r="I147" s="57"/>
      <c r="J147" s="57"/>
      <c r="K147" s="57"/>
      <c r="L147" s="57"/>
      <c r="M147" s="1"/>
      <c r="P147" s="1"/>
      <c r="Q147" s="2"/>
      <c r="R147" s="2"/>
      <c r="S147" s="2"/>
      <c r="T147" s="1"/>
    </row>
    <row r="148" spans="2:20" x14ac:dyDescent="0.25">
      <c r="E148" s="75">
        <v>2.5</v>
      </c>
      <c r="F148" s="75"/>
      <c r="G148" s="75"/>
      <c r="H148" s="75"/>
      <c r="I148" s="75"/>
      <c r="J148" s="75"/>
      <c r="K148" s="75"/>
      <c r="L148" s="75"/>
      <c r="M148" s="101" t="s">
        <v>5</v>
      </c>
      <c r="N148" s="76">
        <f>(P148*Variables!C1/Variables!C3)*Variables!C2</f>
        <v>2.5002197802197834</v>
      </c>
      <c r="O148" s="73" t="s">
        <v>5</v>
      </c>
      <c r="P148" s="76">
        <f>(IF(E148&lt;0,0,IF(E148&gt;4.8,4095,ROUND((E148/Variables!F3),0))))</f>
        <v>2133</v>
      </c>
      <c r="Q148" s="20" t="s">
        <v>133</v>
      </c>
      <c r="R148" s="13">
        <f>_xlfn.BITAND(P148,255)</f>
        <v>85</v>
      </c>
      <c r="S148" s="13" t="str">
        <f>IF(R148&lt;16,CONCATENATE("0x0",(DEC2HEX(R148))),CONCATENATE("0x",(DEC2HEX(R148))))</f>
        <v>0x55</v>
      </c>
      <c r="T148" s="5" t="str">
        <f>DEC2BIN(R148,8)</f>
        <v>01010101</v>
      </c>
    </row>
    <row r="149" spans="2:20" x14ac:dyDescent="0.25">
      <c r="E149" s="75"/>
      <c r="F149" s="75"/>
      <c r="G149" s="75"/>
      <c r="H149" s="75"/>
      <c r="I149" s="75"/>
      <c r="J149" s="75"/>
      <c r="K149" s="75"/>
      <c r="L149" s="75"/>
      <c r="M149" s="101"/>
      <c r="N149" s="76"/>
      <c r="O149" s="73"/>
      <c r="P149" s="76"/>
      <c r="Q149" s="2"/>
      <c r="R149" s="2"/>
      <c r="S149" s="2"/>
      <c r="T149" s="1"/>
    </row>
    <row r="150" spans="2:20" x14ac:dyDescent="0.25">
      <c r="E150" s="75"/>
      <c r="F150" s="75"/>
      <c r="G150" s="75"/>
      <c r="H150" s="75"/>
      <c r="I150" s="75"/>
      <c r="J150" s="75"/>
      <c r="K150" s="75"/>
      <c r="L150" s="75"/>
      <c r="M150" s="101"/>
      <c r="N150" s="76"/>
      <c r="O150" s="73"/>
      <c r="P150" s="76"/>
      <c r="Q150" s="2" t="s">
        <v>134</v>
      </c>
      <c r="R150" s="13">
        <f>((_xlfn.BITAND(P148,3840))/(2^8))</f>
        <v>8</v>
      </c>
      <c r="S150" s="13" t="str">
        <f>IF(R150&lt;16,CONCATENATE("0x0",(DEC2HEX(R150))),CONCATENATE("0x",(DEC2HEX(R150))))</f>
        <v>0x08</v>
      </c>
      <c r="T150" s="5" t="str">
        <f>DEC2BIN(R150,8)</f>
        <v>00001000</v>
      </c>
    </row>
    <row r="151" spans="2:20" x14ac:dyDescent="0.25">
      <c r="E151" s="57" t="s">
        <v>136</v>
      </c>
      <c r="F151" s="57"/>
      <c r="G151" s="57"/>
      <c r="H151" s="57"/>
      <c r="I151" s="57"/>
      <c r="J151" s="57"/>
      <c r="K151" s="57"/>
      <c r="L151" s="57"/>
      <c r="M151" s="11"/>
      <c r="P151" s="11"/>
      <c r="Q151" s="24"/>
      <c r="R151" s="2"/>
      <c r="S151" s="2"/>
      <c r="T151" s="1"/>
    </row>
    <row r="152" spans="2:20" x14ac:dyDescent="0.25">
      <c r="B152" s="39"/>
      <c r="C152" s="39"/>
      <c r="E152" s="72">
        <v>15</v>
      </c>
      <c r="F152" s="72"/>
      <c r="G152" s="72"/>
      <c r="H152" s="72"/>
      <c r="I152" s="72"/>
      <c r="J152" s="72"/>
      <c r="K152" s="72"/>
      <c r="L152" s="72"/>
      <c r="M152" s="16"/>
      <c r="N152" s="22">
        <f>IF(E152&lt;0, "0", IF(E152 &gt; 1024, "1024",ROUND(E152,0)))</f>
        <v>15</v>
      </c>
      <c r="O152" s="22" t="str">
        <f>N155</f>
        <v>s</v>
      </c>
      <c r="P152" s="22">
        <f>N152</f>
        <v>15</v>
      </c>
      <c r="Q152" s="2"/>
      <c r="R152" s="2"/>
      <c r="S152" s="2"/>
      <c r="T152" s="1"/>
    </row>
    <row r="153" spans="2:20" x14ac:dyDescent="0.25">
      <c r="E153" s="86" t="s">
        <v>137</v>
      </c>
      <c r="F153" s="87"/>
      <c r="G153" s="87"/>
      <c r="H153" s="87"/>
      <c r="I153" s="87"/>
      <c r="J153" s="87"/>
      <c r="K153" s="87"/>
      <c r="L153" s="88"/>
      <c r="M153" s="11"/>
      <c r="P153" s="11"/>
      <c r="Q153" s="2" t="s">
        <v>140</v>
      </c>
      <c r="R153" s="13">
        <f>_xlfn.BITAND(P152,255)</f>
        <v>15</v>
      </c>
      <c r="S153" s="13" t="str">
        <f>IF(R153&lt;16,CONCATENATE("0x0",(DEC2HEX(R153))),CONCATENATE("0x",(DEC2HEX(R153))))</f>
        <v>0x0F</v>
      </c>
      <c r="T153" s="5" t="str">
        <f>DEC2BIN(R153,8)</f>
        <v>00001111</v>
      </c>
    </row>
    <row r="154" spans="2:20" x14ac:dyDescent="0.25">
      <c r="E154" s="86" t="s">
        <v>138</v>
      </c>
      <c r="F154" s="87"/>
      <c r="G154" s="87"/>
      <c r="H154" s="88"/>
      <c r="I154" s="86" t="s">
        <v>139</v>
      </c>
      <c r="J154" s="87"/>
      <c r="K154" s="87"/>
      <c r="L154" s="88"/>
      <c r="M154" s="11"/>
      <c r="P154" s="11"/>
      <c r="Q154" s="2"/>
      <c r="R154" s="2"/>
      <c r="S154" s="2"/>
      <c r="T154" s="1"/>
    </row>
    <row r="155" spans="2:20" x14ac:dyDescent="0.25">
      <c r="E155" s="75">
        <v>1</v>
      </c>
      <c r="F155" s="75"/>
      <c r="G155" s="75"/>
      <c r="H155" s="75"/>
      <c r="I155" s="75">
        <v>0</v>
      </c>
      <c r="J155" s="75"/>
      <c r="K155" s="75"/>
      <c r="L155" s="75"/>
      <c r="M155" s="16"/>
      <c r="N155" s="22" t="str">
        <f>IF(((E155*2 +I155) = 3),"min",IF((E155*2+I155 = 2), "s",IF((E155*2+I155=1),"ms","us")))</f>
        <v>s</v>
      </c>
      <c r="O155" s="16"/>
      <c r="P155" s="22">
        <f>IF(N155="min",3,IF(N155="s",2,IF(N155="ms",1,0)))</f>
        <v>2</v>
      </c>
      <c r="Q155" s="16"/>
      <c r="R155" s="16"/>
      <c r="S155" s="16"/>
      <c r="T155" s="1"/>
    </row>
    <row r="156" spans="2:20" x14ac:dyDescent="0.25">
      <c r="E156" s="57" t="s">
        <v>141</v>
      </c>
      <c r="F156" s="57"/>
      <c r="G156" s="57"/>
      <c r="H156" s="57"/>
      <c r="I156" s="57"/>
      <c r="J156" s="57"/>
      <c r="K156" s="57"/>
      <c r="L156" s="57"/>
      <c r="M156" s="10"/>
      <c r="P156" s="10"/>
      <c r="Q156" s="19" t="s">
        <v>142</v>
      </c>
      <c r="R156" s="32">
        <f>(P157*8)+(P155*2)+((_xlfn.BITAND(P152,256))/(2^8))</f>
        <v>252</v>
      </c>
      <c r="S156" s="32" t="str">
        <f>IF(R156&lt;16,CONCATENATE("0x0",(DEC2HEX(R156))),CONCATENATE("0x",(DEC2HEX(R156))))</f>
        <v>0xFC</v>
      </c>
      <c r="T156" s="5" t="str">
        <f>DEC2BIN(R156,8)</f>
        <v>11111100</v>
      </c>
    </row>
    <row r="157" spans="2:20" x14ac:dyDescent="0.25">
      <c r="E157" s="29"/>
      <c r="F157" s="29"/>
      <c r="G157" s="29"/>
      <c r="H157" s="33">
        <v>1</v>
      </c>
      <c r="I157" s="30">
        <v>1</v>
      </c>
      <c r="J157" s="30">
        <v>1</v>
      </c>
      <c r="K157" s="30">
        <v>1</v>
      </c>
      <c r="L157" s="30">
        <v>1</v>
      </c>
      <c r="M157" s="2"/>
      <c r="N157" s="22">
        <f>BIN2DEC(CONCATENATE(H157,I157,J157,K157,L157))</f>
        <v>31</v>
      </c>
      <c r="O157" s="16" t="s">
        <v>143</v>
      </c>
      <c r="P157" s="22">
        <f>N157</f>
        <v>31</v>
      </c>
      <c r="Q157" s="16"/>
      <c r="R157" s="31"/>
      <c r="S157" s="16"/>
      <c r="T157" s="16"/>
    </row>
    <row r="158" spans="2:20" x14ac:dyDescent="0.25">
      <c r="E158" s="86" t="s">
        <v>184</v>
      </c>
      <c r="F158" s="87"/>
      <c r="G158" s="87"/>
      <c r="H158" s="87"/>
      <c r="I158" s="87"/>
      <c r="J158" s="87"/>
      <c r="K158" s="87"/>
      <c r="L158" s="88"/>
      <c r="M158" s="10"/>
      <c r="P158" s="10"/>
      <c r="Q158" s="25"/>
      <c r="R158" s="19"/>
      <c r="S158" s="19"/>
      <c r="T158" s="9"/>
    </row>
    <row r="159" spans="2:20" x14ac:dyDescent="0.25">
      <c r="E159" s="54">
        <v>0</v>
      </c>
      <c r="F159" s="56"/>
      <c r="G159" s="54">
        <v>0</v>
      </c>
      <c r="H159" s="56"/>
      <c r="I159" s="54">
        <v>0</v>
      </c>
      <c r="J159" s="56"/>
      <c r="K159" s="54">
        <v>0</v>
      </c>
      <c r="L159" s="56"/>
      <c r="M159" s="2"/>
      <c r="N159" s="34">
        <f>BIN2DEC(CONCATENATE(E159,G159,I159,K159))</f>
        <v>0</v>
      </c>
      <c r="O159" s="2" t="s">
        <v>145</v>
      </c>
      <c r="P159" s="13">
        <f>N159</f>
        <v>0</v>
      </c>
      <c r="Q159" s="2"/>
      <c r="R159" s="2"/>
      <c r="S159" s="2"/>
      <c r="T159" s="2"/>
    </row>
    <row r="160" spans="2:20" x14ac:dyDescent="0.25">
      <c r="E160" s="86" t="s">
        <v>144</v>
      </c>
      <c r="F160" s="87"/>
      <c r="G160" s="87"/>
      <c r="H160" s="87"/>
      <c r="I160" s="87"/>
      <c r="J160" s="87"/>
      <c r="K160" s="87"/>
      <c r="L160" s="88"/>
      <c r="M160" s="10"/>
      <c r="P160" s="10"/>
      <c r="Q160" s="25" t="s">
        <v>146</v>
      </c>
      <c r="R160" s="32">
        <f>(P161*16)+(P159)</f>
        <v>16</v>
      </c>
      <c r="S160" s="32" t="str">
        <f>IF(R160&lt;16,CONCATENATE("0x0",(DEC2HEX(R160))),CONCATENATE("0x",(DEC2HEX(R160))))</f>
        <v>0x10</v>
      </c>
      <c r="T160" s="5" t="str">
        <f>DEC2BIN(R160,8)</f>
        <v>00010000</v>
      </c>
    </row>
    <row r="161" spans="2:20" x14ac:dyDescent="0.25">
      <c r="E161" s="54">
        <v>0</v>
      </c>
      <c r="F161" s="56"/>
      <c r="G161" s="54">
        <v>0</v>
      </c>
      <c r="H161" s="56"/>
      <c r="I161" s="54">
        <v>0</v>
      </c>
      <c r="J161" s="56"/>
      <c r="K161" s="54">
        <v>1</v>
      </c>
      <c r="L161" s="56"/>
      <c r="M161" s="2"/>
      <c r="N161" s="34">
        <f>16*(BIN2DEC(CONCATENATE(E161,G161,I161,K161)))</f>
        <v>16</v>
      </c>
      <c r="O161" s="2" t="s">
        <v>145</v>
      </c>
      <c r="P161" s="34">
        <f>BIN2DEC(CONCATENATE(E161,G161,I161,K161))</f>
        <v>1</v>
      </c>
      <c r="Q161" s="2"/>
      <c r="R161" s="2"/>
      <c r="S161" s="2"/>
      <c r="T161" s="2"/>
    </row>
    <row r="162" spans="2:20" x14ac:dyDescent="0.25">
      <c r="E162" s="57" t="s">
        <v>147</v>
      </c>
      <c r="F162" s="57"/>
      <c r="G162" s="57"/>
      <c r="H162" s="57"/>
      <c r="I162" s="57"/>
      <c r="J162" s="57"/>
      <c r="K162" s="57"/>
      <c r="L162" s="57"/>
      <c r="M162" s="1"/>
      <c r="P162" s="10"/>
      <c r="Q162" s="25"/>
      <c r="R162" s="19"/>
      <c r="S162" s="2"/>
      <c r="T162" s="1"/>
    </row>
    <row r="163" spans="2:20" x14ac:dyDescent="0.25">
      <c r="E163" s="72" t="s">
        <v>152</v>
      </c>
      <c r="F163" s="72"/>
      <c r="G163" s="72"/>
      <c r="H163" s="72"/>
      <c r="I163" s="72"/>
      <c r="J163" s="72"/>
      <c r="K163" s="72"/>
      <c r="L163" s="72"/>
      <c r="M163" s="16"/>
      <c r="N163" s="16"/>
      <c r="O163" s="16"/>
      <c r="P163" s="22" t="str">
        <f>IF(E163="3 Cells","131",IF(E163="4 Cells","195",IF(E163="5 Cells","199",IF(E163="6 Cells","231",IF(E163="7 Cells","239",IF(E163="8 Cells","255"))))))</f>
        <v>239</v>
      </c>
      <c r="Q163" s="16" t="s">
        <v>154</v>
      </c>
      <c r="R163" s="22" t="str">
        <f>P163</f>
        <v>239</v>
      </c>
      <c r="S163" s="13" t="str">
        <f>IF(R163&lt;16,CONCATENATE("0x0",(DEC2HEX(R163))),CONCATENATE("0x",(DEC2HEX(R163))))</f>
        <v>0xEF</v>
      </c>
      <c r="T163" s="5" t="str">
        <f>DEC2BIN(R163,8)</f>
        <v>11101111</v>
      </c>
    </row>
    <row r="164" spans="2:20" x14ac:dyDescent="0.25">
      <c r="E164" s="2" t="s">
        <v>155</v>
      </c>
      <c r="F164" s="2" t="s">
        <v>156</v>
      </c>
      <c r="G164" s="2" t="s">
        <v>157</v>
      </c>
      <c r="H164" s="2" t="s">
        <v>158</v>
      </c>
      <c r="I164" s="2" t="s">
        <v>159</v>
      </c>
      <c r="J164" s="2" t="s">
        <v>160</v>
      </c>
      <c r="K164" s="2" t="s">
        <v>161</v>
      </c>
      <c r="L164" s="2" t="s">
        <v>162</v>
      </c>
      <c r="M164" s="1"/>
      <c r="P164" s="1"/>
      <c r="Q164" s="2"/>
      <c r="R164" s="2"/>
      <c r="S164" s="2"/>
      <c r="T164" s="1"/>
    </row>
    <row r="165" spans="2:20" x14ac:dyDescent="0.25">
      <c r="E165" s="13" t="s">
        <v>163</v>
      </c>
      <c r="F165" s="13" t="str">
        <f>IF(E163 = "3 Cells", "Disabled", "Enabled")</f>
        <v>Enabled</v>
      </c>
      <c r="G165" s="13" t="str">
        <f>IF(OR(E163 = "3 Cells",  E163 = "4 Cells", E163="5 Cells"), "Disabled", "Enabled")</f>
        <v>Enabled</v>
      </c>
      <c r="H165" s="13" t="str">
        <f>IF(OR(E163 = "3 Cells",  E163 = "4 Cells", E163="5 Cells", E163 = "6 Cells", E163 = "7 Cells"), "Disabled", "Enabled")</f>
        <v>Disabled</v>
      </c>
      <c r="I165" s="13" t="str">
        <f>IF(OR(E163 = "3 Cells",  E163 = "4 Cells", E163="5 Cells", E163 = "6 Cells"), "Disabled", "Enabled")</f>
        <v>Enabled</v>
      </c>
      <c r="J165" s="13" t="str">
        <f>IF(OR(E163 = "3 Cells",  E163 = "4 Cells"), "Disabled", "Enabled")</f>
        <v>Enabled</v>
      </c>
      <c r="K165" s="13" t="s">
        <v>163</v>
      </c>
      <c r="L165" s="13" t="s">
        <v>163</v>
      </c>
      <c r="M165" s="9"/>
      <c r="P165" s="1"/>
      <c r="Q165" s="2"/>
      <c r="R165" s="2"/>
      <c r="S165" s="2"/>
      <c r="T165" s="1"/>
    </row>
    <row r="166" spans="2:20" x14ac:dyDescent="0.25">
      <c r="E166" s="86" t="s">
        <v>171</v>
      </c>
      <c r="F166" s="87"/>
      <c r="G166" s="87"/>
      <c r="H166" s="87"/>
      <c r="I166" s="87"/>
      <c r="J166" s="87"/>
      <c r="K166" s="87"/>
      <c r="L166" s="88"/>
      <c r="M166" s="9"/>
      <c r="P166" s="1"/>
      <c r="Q166" s="2"/>
      <c r="R166" s="2"/>
      <c r="S166" s="2"/>
      <c r="T166" s="1"/>
    </row>
    <row r="167" spans="2:20" x14ac:dyDescent="0.25">
      <c r="E167" s="65" t="s">
        <v>164</v>
      </c>
      <c r="F167" s="65" t="s">
        <v>55</v>
      </c>
      <c r="G167" s="65" t="s">
        <v>165</v>
      </c>
      <c r="H167" s="65" t="s">
        <v>166</v>
      </c>
      <c r="I167" s="65" t="s">
        <v>55</v>
      </c>
      <c r="J167" s="65" t="s">
        <v>167</v>
      </c>
      <c r="K167" s="65" t="s">
        <v>168</v>
      </c>
      <c r="L167" s="106" t="s">
        <v>169</v>
      </c>
      <c r="M167" s="73"/>
      <c r="N167" s="35"/>
      <c r="O167" s="35"/>
      <c r="P167" s="73"/>
      <c r="Q167" s="73"/>
      <c r="R167" s="73"/>
      <c r="S167" s="73"/>
      <c r="T167" s="73"/>
    </row>
    <row r="168" spans="2:20" x14ac:dyDescent="0.25">
      <c r="E168" s="66"/>
      <c r="F168" s="66"/>
      <c r="G168" s="66"/>
      <c r="H168" s="66"/>
      <c r="I168" s="66"/>
      <c r="J168" s="66"/>
      <c r="K168" s="66"/>
      <c r="L168" s="107"/>
      <c r="M168" s="65"/>
      <c r="N168" s="35"/>
      <c r="O168" s="35"/>
      <c r="P168" s="65"/>
      <c r="Q168" s="65"/>
      <c r="R168" s="65"/>
      <c r="S168" s="65"/>
      <c r="T168" s="65"/>
    </row>
    <row r="169" spans="2:20" x14ac:dyDescent="0.25">
      <c r="B169" s="38"/>
      <c r="C169" s="38"/>
      <c r="E169" s="12">
        <v>0</v>
      </c>
      <c r="F169" s="36"/>
      <c r="G169" s="12">
        <v>1</v>
      </c>
      <c r="H169" s="12">
        <v>0</v>
      </c>
      <c r="I169" s="36"/>
      <c r="J169" s="12">
        <v>0</v>
      </c>
      <c r="K169" s="12">
        <v>0</v>
      </c>
      <c r="L169" s="12">
        <v>0</v>
      </c>
      <c r="M169" s="2"/>
      <c r="N169" s="13" t="str">
        <f>CONCATENATE(E169,"0",G169,H169,"0",J169,K169,L169)</f>
        <v>00100000</v>
      </c>
      <c r="O169" s="2"/>
      <c r="P169" s="13">
        <f>BIN2DEC(N169)</f>
        <v>32</v>
      </c>
      <c r="Q169" s="2" t="s">
        <v>170</v>
      </c>
      <c r="R169" s="13">
        <f>P169</f>
        <v>32</v>
      </c>
      <c r="S169" s="13" t="str">
        <f>IF(R169&lt;16,CONCATENATE("0x0",(DEC2HEX(R169))),CONCATENATE("0x",(DEC2HEX(R169))))</f>
        <v>0x20</v>
      </c>
      <c r="T169" s="5" t="str">
        <f>DEC2BIN(R169,8)</f>
        <v>00100000</v>
      </c>
    </row>
    <row r="170" spans="2:20" x14ac:dyDescent="0.25">
      <c r="E170" s="86" t="s">
        <v>200</v>
      </c>
      <c r="F170" s="87"/>
      <c r="G170" s="87"/>
      <c r="H170" s="87"/>
      <c r="I170" s="87"/>
      <c r="J170" s="87"/>
      <c r="K170" s="87"/>
      <c r="L170" s="88"/>
      <c r="M170" s="2"/>
      <c r="N170" s="3"/>
      <c r="O170" s="3"/>
      <c r="P170" s="13"/>
      <c r="Q170" s="2"/>
      <c r="R170" s="13"/>
      <c r="S170" s="13"/>
      <c r="T170" s="5"/>
    </row>
    <row r="171" spans="2:20" x14ac:dyDescent="0.25">
      <c r="E171" s="65" t="s">
        <v>173</v>
      </c>
      <c r="F171" s="65" t="s">
        <v>174</v>
      </c>
      <c r="G171" s="65" t="s">
        <v>175</v>
      </c>
      <c r="H171" s="65" t="s">
        <v>176</v>
      </c>
      <c r="I171" s="65" t="s">
        <v>177</v>
      </c>
      <c r="J171" s="65" t="s">
        <v>55</v>
      </c>
      <c r="K171" s="65" t="s">
        <v>55</v>
      </c>
      <c r="L171" s="106" t="s">
        <v>178</v>
      </c>
      <c r="M171" s="73"/>
      <c r="N171" s="35"/>
      <c r="O171" s="35"/>
      <c r="P171" s="73"/>
      <c r="Q171" s="73"/>
      <c r="R171" s="73"/>
      <c r="S171" s="73"/>
      <c r="T171" s="73"/>
    </row>
    <row r="172" spans="2:20" x14ac:dyDescent="0.25">
      <c r="E172" s="66"/>
      <c r="F172" s="66"/>
      <c r="G172" s="66"/>
      <c r="H172" s="66"/>
      <c r="I172" s="66"/>
      <c r="J172" s="66"/>
      <c r="K172" s="66"/>
      <c r="L172" s="107"/>
      <c r="M172" s="65"/>
      <c r="N172" s="35"/>
      <c r="O172" s="35"/>
      <c r="P172" s="65"/>
      <c r="Q172" s="65"/>
      <c r="R172" s="65"/>
      <c r="S172" s="65"/>
      <c r="T172" s="65"/>
    </row>
    <row r="173" spans="2:20" x14ac:dyDescent="0.25">
      <c r="B173" s="38"/>
      <c r="C173" s="38"/>
      <c r="E173" s="12">
        <v>0</v>
      </c>
      <c r="F173" s="12">
        <v>1</v>
      </c>
      <c r="G173" s="12">
        <v>1</v>
      </c>
      <c r="H173" s="12">
        <v>1</v>
      </c>
      <c r="I173" s="12">
        <v>0</v>
      </c>
      <c r="J173" s="36">
        <v>0</v>
      </c>
      <c r="K173" s="36">
        <v>0</v>
      </c>
      <c r="L173" s="12">
        <v>1</v>
      </c>
      <c r="M173" s="2"/>
      <c r="N173" s="34" t="str">
        <f>CONCATENATE(E173,F173,G173,H173,I173,"0","0",L173)</f>
        <v>01110001</v>
      </c>
      <c r="O173" s="2"/>
      <c r="P173" s="13">
        <f>BIN2DEC(N173)</f>
        <v>113</v>
      </c>
      <c r="Q173" s="2" t="s">
        <v>172</v>
      </c>
      <c r="R173" s="13">
        <f>P173</f>
        <v>113</v>
      </c>
      <c r="S173" s="13" t="str">
        <f>IF(R173&lt;16,CONCATENATE("0x0",(DEC2HEX(R173))),CONCATENATE("0x",(DEC2HEX(R173))))</f>
        <v>0x71</v>
      </c>
      <c r="T173" s="5" t="str">
        <f>DEC2BIN(R173,8)</f>
        <v>01110001</v>
      </c>
    </row>
  </sheetData>
  <mergeCells count="272">
    <mergeCell ref="A8:C9"/>
    <mergeCell ref="E8:L8"/>
    <mergeCell ref="E9:L9"/>
    <mergeCell ref="A10:C10"/>
    <mergeCell ref="E10:L11"/>
    <mergeCell ref="M10:M11"/>
    <mergeCell ref="S3:S4"/>
    <mergeCell ref="T3:T4"/>
    <mergeCell ref="E5:L5"/>
    <mergeCell ref="A6:C6"/>
    <mergeCell ref="E6:L6"/>
    <mergeCell ref="E7:L7"/>
    <mergeCell ref="E3:L4"/>
    <mergeCell ref="M3:M4"/>
    <mergeCell ref="N3:O4"/>
    <mergeCell ref="P3:P4"/>
    <mergeCell ref="Q3:Q4"/>
    <mergeCell ref="R3:R4"/>
    <mergeCell ref="E15:L15"/>
    <mergeCell ref="E16:L16"/>
    <mergeCell ref="E17:L19"/>
    <mergeCell ref="M17:M19"/>
    <mergeCell ref="N17:N19"/>
    <mergeCell ref="O17:O19"/>
    <mergeCell ref="N10:N11"/>
    <mergeCell ref="O10:O11"/>
    <mergeCell ref="P10:P11"/>
    <mergeCell ref="E12:L12"/>
    <mergeCell ref="E13:L13"/>
    <mergeCell ref="E14:L14"/>
    <mergeCell ref="E24:L24"/>
    <mergeCell ref="E25:L27"/>
    <mergeCell ref="M25:M27"/>
    <mergeCell ref="N25:N27"/>
    <mergeCell ref="O25:O27"/>
    <mergeCell ref="P25:P27"/>
    <mergeCell ref="P17:P19"/>
    <mergeCell ref="E20:L20"/>
    <mergeCell ref="E21:L23"/>
    <mergeCell ref="M21:M23"/>
    <mergeCell ref="N21:N23"/>
    <mergeCell ref="O21:O23"/>
    <mergeCell ref="P21:P23"/>
    <mergeCell ref="E32:L32"/>
    <mergeCell ref="E33:L35"/>
    <mergeCell ref="M33:M35"/>
    <mergeCell ref="N33:N35"/>
    <mergeCell ref="O33:O35"/>
    <mergeCell ref="P33:P35"/>
    <mergeCell ref="E28:L28"/>
    <mergeCell ref="E29:L31"/>
    <mergeCell ref="M29:M31"/>
    <mergeCell ref="N29:N31"/>
    <mergeCell ref="O29:O31"/>
    <mergeCell ref="P29:P31"/>
    <mergeCell ref="E41:L41"/>
    <mergeCell ref="E42:L42"/>
    <mergeCell ref="E43:L43"/>
    <mergeCell ref="E44:H44"/>
    <mergeCell ref="I44:L44"/>
    <mergeCell ref="E45:H45"/>
    <mergeCell ref="I45:L45"/>
    <mergeCell ref="E36:L36"/>
    <mergeCell ref="E37:L37"/>
    <mergeCell ref="E38:L38"/>
    <mergeCell ref="E39:H39"/>
    <mergeCell ref="I39:L39"/>
    <mergeCell ref="E40:H40"/>
    <mergeCell ref="I40:L40"/>
    <mergeCell ref="E52:L52"/>
    <mergeCell ref="E53:G53"/>
    <mergeCell ref="H53:J53"/>
    <mergeCell ref="K53:L53"/>
    <mergeCell ref="E54:G54"/>
    <mergeCell ref="E55:L55"/>
    <mergeCell ref="E46:L46"/>
    <mergeCell ref="E47:L47"/>
    <mergeCell ref="E48:L48"/>
    <mergeCell ref="E49:L49"/>
    <mergeCell ref="E50:L50"/>
    <mergeCell ref="E51:L51"/>
    <mergeCell ref="E60:L60"/>
    <mergeCell ref="E61:L61"/>
    <mergeCell ref="E62:L62"/>
    <mergeCell ref="E63:G63"/>
    <mergeCell ref="H63:J63"/>
    <mergeCell ref="K63:L63"/>
    <mergeCell ref="E56:L56"/>
    <mergeCell ref="E57:L57"/>
    <mergeCell ref="E58:G58"/>
    <mergeCell ref="H58:J58"/>
    <mergeCell ref="K58:L58"/>
    <mergeCell ref="E59:G59"/>
    <mergeCell ref="P66:P68"/>
    <mergeCell ref="E69:L69"/>
    <mergeCell ref="E70:L72"/>
    <mergeCell ref="M70:M72"/>
    <mergeCell ref="N70:N72"/>
    <mergeCell ref="O70:O72"/>
    <mergeCell ref="P70:P72"/>
    <mergeCell ref="E64:G64"/>
    <mergeCell ref="E65:L65"/>
    <mergeCell ref="E66:L68"/>
    <mergeCell ref="M66:M68"/>
    <mergeCell ref="N66:N68"/>
    <mergeCell ref="O66:O68"/>
    <mergeCell ref="M78:M80"/>
    <mergeCell ref="N78:N80"/>
    <mergeCell ref="O78:O80"/>
    <mergeCell ref="P78:P80"/>
    <mergeCell ref="E73:L73"/>
    <mergeCell ref="E74:L76"/>
    <mergeCell ref="M74:M76"/>
    <mergeCell ref="N74:N76"/>
    <mergeCell ref="O74:O76"/>
    <mergeCell ref="P74:P76"/>
    <mergeCell ref="E81:L81"/>
    <mergeCell ref="E82:L82"/>
    <mergeCell ref="E83:L83"/>
    <mergeCell ref="E84:H84"/>
    <mergeCell ref="I84:L84"/>
    <mergeCell ref="E85:H85"/>
    <mergeCell ref="I85:L85"/>
    <mergeCell ref="E77:L77"/>
    <mergeCell ref="E78:L80"/>
    <mergeCell ref="E91:L91"/>
    <mergeCell ref="E92:L94"/>
    <mergeCell ref="M92:M94"/>
    <mergeCell ref="N92:N94"/>
    <mergeCell ref="O92:O94"/>
    <mergeCell ref="P92:P94"/>
    <mergeCell ref="E86:L86"/>
    <mergeCell ref="E87:L87"/>
    <mergeCell ref="E88:L88"/>
    <mergeCell ref="E89:H89"/>
    <mergeCell ref="I89:L89"/>
    <mergeCell ref="E90:H90"/>
    <mergeCell ref="I90:L90"/>
    <mergeCell ref="E99:L99"/>
    <mergeCell ref="E100:L102"/>
    <mergeCell ref="M100:M102"/>
    <mergeCell ref="N100:N102"/>
    <mergeCell ref="O100:O102"/>
    <mergeCell ref="P100:P102"/>
    <mergeCell ref="E95:L95"/>
    <mergeCell ref="E96:L98"/>
    <mergeCell ref="M96:M98"/>
    <mergeCell ref="N96:N98"/>
    <mergeCell ref="O96:O98"/>
    <mergeCell ref="P96:P98"/>
    <mergeCell ref="E107:L107"/>
    <mergeCell ref="E108:L110"/>
    <mergeCell ref="M108:M110"/>
    <mergeCell ref="N108:N110"/>
    <mergeCell ref="O108:O110"/>
    <mergeCell ref="P108:P110"/>
    <mergeCell ref="E103:L103"/>
    <mergeCell ref="E104:L106"/>
    <mergeCell ref="M104:M106"/>
    <mergeCell ref="N104:N106"/>
    <mergeCell ref="O104:O106"/>
    <mergeCell ref="P104:P106"/>
    <mergeCell ref="E115:L115"/>
    <mergeCell ref="E116:L118"/>
    <mergeCell ref="M116:M118"/>
    <mergeCell ref="N116:N118"/>
    <mergeCell ref="O116:O118"/>
    <mergeCell ref="P116:P118"/>
    <mergeCell ref="E111:L111"/>
    <mergeCell ref="E112:L114"/>
    <mergeCell ref="M112:M114"/>
    <mergeCell ref="N112:N114"/>
    <mergeCell ref="O112:O114"/>
    <mergeCell ref="P112:P114"/>
    <mergeCell ref="E123:L123"/>
    <mergeCell ref="E124:L126"/>
    <mergeCell ref="M124:M126"/>
    <mergeCell ref="N124:N126"/>
    <mergeCell ref="O124:O126"/>
    <mergeCell ref="P124:P126"/>
    <mergeCell ref="E119:L119"/>
    <mergeCell ref="E120:L122"/>
    <mergeCell ref="M120:M122"/>
    <mergeCell ref="N120:N122"/>
    <mergeCell ref="O120:O122"/>
    <mergeCell ref="P120:P122"/>
    <mergeCell ref="E131:L131"/>
    <mergeCell ref="E132:L134"/>
    <mergeCell ref="M132:M134"/>
    <mergeCell ref="N132:N134"/>
    <mergeCell ref="O132:O134"/>
    <mergeCell ref="P132:P134"/>
    <mergeCell ref="E127:L127"/>
    <mergeCell ref="E128:L130"/>
    <mergeCell ref="M128:M130"/>
    <mergeCell ref="N128:N130"/>
    <mergeCell ref="O128:O130"/>
    <mergeCell ref="P128:P130"/>
    <mergeCell ref="E139:L139"/>
    <mergeCell ref="E140:L142"/>
    <mergeCell ref="M140:M142"/>
    <mergeCell ref="N140:N142"/>
    <mergeCell ref="O140:O142"/>
    <mergeCell ref="P140:P142"/>
    <mergeCell ref="E135:L135"/>
    <mergeCell ref="E136:L138"/>
    <mergeCell ref="M136:M138"/>
    <mergeCell ref="N136:N138"/>
    <mergeCell ref="O136:O138"/>
    <mergeCell ref="P136:P138"/>
    <mergeCell ref="M148:M150"/>
    <mergeCell ref="N148:N150"/>
    <mergeCell ref="O148:O150"/>
    <mergeCell ref="P148:P150"/>
    <mergeCell ref="E143:L143"/>
    <mergeCell ref="E144:L146"/>
    <mergeCell ref="M144:M146"/>
    <mergeCell ref="N144:N146"/>
    <mergeCell ref="O144:O146"/>
    <mergeCell ref="P144:P146"/>
    <mergeCell ref="E151:L151"/>
    <mergeCell ref="E152:L152"/>
    <mergeCell ref="E153:L153"/>
    <mergeCell ref="E154:H154"/>
    <mergeCell ref="I154:L154"/>
    <mergeCell ref="E155:H155"/>
    <mergeCell ref="I155:L155"/>
    <mergeCell ref="E147:L147"/>
    <mergeCell ref="E148:L150"/>
    <mergeCell ref="E160:L160"/>
    <mergeCell ref="E161:F161"/>
    <mergeCell ref="G161:H161"/>
    <mergeCell ref="I161:J161"/>
    <mergeCell ref="K161:L161"/>
    <mergeCell ref="E162:L162"/>
    <mergeCell ref="E156:L156"/>
    <mergeCell ref="E158:L158"/>
    <mergeCell ref="E159:F159"/>
    <mergeCell ref="G159:H159"/>
    <mergeCell ref="I159:J159"/>
    <mergeCell ref="K159:L159"/>
    <mergeCell ref="M167:M168"/>
    <mergeCell ref="P167:P168"/>
    <mergeCell ref="Q167:Q168"/>
    <mergeCell ref="R167:R168"/>
    <mergeCell ref="S167:S168"/>
    <mergeCell ref="T167:T168"/>
    <mergeCell ref="E163:L163"/>
    <mergeCell ref="E166:L166"/>
    <mergeCell ref="E167:E168"/>
    <mergeCell ref="F167:F168"/>
    <mergeCell ref="G167:G168"/>
    <mergeCell ref="H167:H168"/>
    <mergeCell ref="I167:I168"/>
    <mergeCell ref="J167:J168"/>
    <mergeCell ref="K167:K168"/>
    <mergeCell ref="L167:L168"/>
    <mergeCell ref="M171:M172"/>
    <mergeCell ref="P171:P172"/>
    <mergeCell ref="Q171:Q172"/>
    <mergeCell ref="R171:R172"/>
    <mergeCell ref="S171:S172"/>
    <mergeCell ref="T171:T172"/>
    <mergeCell ref="E170:L170"/>
    <mergeCell ref="E171:E172"/>
    <mergeCell ref="F171:F172"/>
    <mergeCell ref="G171:G172"/>
    <mergeCell ref="H171:H172"/>
    <mergeCell ref="I171:I172"/>
    <mergeCell ref="J171:J172"/>
    <mergeCell ref="K171:K172"/>
    <mergeCell ref="L171:L172"/>
  </mergeCells>
  <pageMargins left="0.7" right="0.7" top="0.75" bottom="0.75" header="0.3" footer="0.3"/>
  <pageSetup orientation="portrait" r:id="rId1"/>
  <drawing r:id="rId2"/>
  <legacyDrawing r:id="rId3"/>
  <controls>
    <mc:AlternateContent xmlns:mc="http://schemas.openxmlformats.org/markup-compatibility/2006">
      <mc:Choice Requires="x14">
        <control shapeId="7169" r:id="rId4" name="btnGenerateFile">
          <controlPr defaultSize="0" autoLine="0" r:id="rId5">
            <anchor moveWithCells="1">
              <from>
                <xdr:col>9</xdr:col>
                <xdr:colOff>600075</xdr:colOff>
                <xdr:row>176</xdr:row>
                <xdr:rowOff>104775</xdr:rowOff>
              </from>
              <to>
                <xdr:col>13</xdr:col>
                <xdr:colOff>333375</xdr:colOff>
                <xdr:row>180</xdr:row>
                <xdr:rowOff>85725</xdr:rowOff>
              </to>
            </anchor>
          </controlPr>
        </control>
      </mc:Choice>
      <mc:Fallback>
        <control shapeId="7169" r:id="rId4" name="btnGenerateFi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52C63001-0023-4DA6-8A7A-260ABAB8DAAD}">
          <x14:formula1>
            <xm:f>Variables!$F$7:$F$12</xm:f>
          </x14:formula1>
          <xm:sqref>E163:L163</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19B332-FB46-4AD2-A28A-44C920F2F88E}">
  <sheetPr codeName="Sheet6"/>
  <dimension ref="A3:T173"/>
  <sheetViews>
    <sheetView workbookViewId="0">
      <pane ySplit="4" topLeftCell="A124" activePane="bottomLeft" state="frozen"/>
      <selection pane="bottomLeft" activeCell="E155" sqref="E155:H155"/>
    </sheetView>
  </sheetViews>
  <sheetFormatPr defaultRowHeight="15" x14ac:dyDescent="0.25"/>
  <cols>
    <col min="2" max="3" width="10.5703125" customWidth="1"/>
    <col min="16" max="16" width="9.42578125" customWidth="1"/>
  </cols>
  <sheetData>
    <row r="3" spans="1:20" x14ac:dyDescent="0.25">
      <c r="E3" s="73" t="s">
        <v>9</v>
      </c>
      <c r="F3" s="73"/>
      <c r="G3" s="73"/>
      <c r="H3" s="73"/>
      <c r="I3" s="73"/>
      <c r="J3" s="73"/>
      <c r="K3" s="73"/>
      <c r="L3" s="73"/>
      <c r="M3" s="65" t="s">
        <v>10</v>
      </c>
      <c r="N3" s="73" t="s">
        <v>30</v>
      </c>
      <c r="O3" s="73"/>
      <c r="P3" s="67" t="s">
        <v>11</v>
      </c>
      <c r="Q3" s="67" t="s">
        <v>14</v>
      </c>
      <c r="R3" s="67" t="s">
        <v>11</v>
      </c>
      <c r="S3" s="67" t="s">
        <v>12</v>
      </c>
      <c r="T3" s="68" t="s">
        <v>88</v>
      </c>
    </row>
    <row r="4" spans="1:20" x14ac:dyDescent="0.25">
      <c r="E4" s="73"/>
      <c r="F4" s="73"/>
      <c r="G4" s="73"/>
      <c r="H4" s="73"/>
      <c r="I4" s="73"/>
      <c r="J4" s="73"/>
      <c r="K4" s="73"/>
      <c r="L4" s="73"/>
      <c r="M4" s="66"/>
      <c r="N4" s="73"/>
      <c r="O4" s="73"/>
      <c r="P4" s="67"/>
      <c r="Q4" s="67"/>
      <c r="R4" s="67"/>
      <c r="S4" s="67"/>
      <c r="T4" s="68"/>
    </row>
    <row r="5" spans="1:20" ht="15.75" thickBot="1" x14ac:dyDescent="0.3">
      <c r="E5" s="57" t="s">
        <v>16</v>
      </c>
      <c r="F5" s="57"/>
      <c r="G5" s="57"/>
      <c r="H5" s="57"/>
      <c r="I5" s="57"/>
      <c r="J5" s="57"/>
      <c r="K5" s="57"/>
      <c r="L5" s="57"/>
      <c r="N5" s="4"/>
      <c r="O5" s="7"/>
      <c r="P5" s="9"/>
      <c r="Q5" s="2" t="s">
        <v>15</v>
      </c>
      <c r="R5" s="13">
        <f>_xlfn.BITAND(P6,255)</f>
        <v>16</v>
      </c>
      <c r="S5" s="13" t="str">
        <f>IF(R5&lt;16,CONCATENATE("0x0",(DEC2HEX(R5))),CONCATENATE("0x",(DEC2HEX(R5))))</f>
        <v>0x10</v>
      </c>
      <c r="T5" s="5" t="str">
        <f>DEC2BIN(R5,8)</f>
        <v>00010000</v>
      </c>
    </row>
    <row r="6" spans="1:20" ht="15.75" thickBot="1" x14ac:dyDescent="0.3">
      <c r="A6" s="69" t="s">
        <v>199</v>
      </c>
      <c r="B6" s="70"/>
      <c r="C6" s="71"/>
      <c r="E6" s="72">
        <v>4.22</v>
      </c>
      <c r="F6" s="72"/>
      <c r="G6" s="72"/>
      <c r="H6" s="72"/>
      <c r="I6" s="72"/>
      <c r="J6" s="72"/>
      <c r="K6" s="72"/>
      <c r="L6" s="72"/>
      <c r="M6" s="18" t="s">
        <v>5</v>
      </c>
      <c r="N6" s="5">
        <f>(P6*Variables!C1/Variables!C3)*Variables!C2</f>
        <v>4.2197802197802252</v>
      </c>
      <c r="O6" s="2" t="s">
        <v>5</v>
      </c>
      <c r="P6" s="5">
        <f>(IF(E6&lt;0,0,IF(E6&gt;4.8,4095,ROUND((E6/Variables!F3),0))))</f>
        <v>3600</v>
      </c>
      <c r="Q6" s="25"/>
      <c r="R6" s="25"/>
      <c r="S6" s="2"/>
      <c r="T6" s="1"/>
    </row>
    <row r="7" spans="1:20" ht="15.75" thickBot="1" x14ac:dyDescent="0.3">
      <c r="E7" s="57" t="s">
        <v>0</v>
      </c>
      <c r="F7" s="57"/>
      <c r="G7" s="57"/>
      <c r="H7" s="57"/>
      <c r="I7" s="57"/>
      <c r="J7" s="57"/>
      <c r="K7" s="57"/>
      <c r="L7" s="57"/>
      <c r="N7" s="4"/>
      <c r="O7" s="8"/>
      <c r="P7" s="10"/>
      <c r="Q7" s="2" t="s">
        <v>13</v>
      </c>
      <c r="R7" s="13">
        <f>(P8*2^4)+((_xlfn.BITAND(P6,3840))/(2^8))</f>
        <v>254</v>
      </c>
      <c r="S7" s="13" t="str">
        <f>IF(R7&lt;16,CONCATENATE("0x0",(DEC2HEX(R7))),CONCATENATE("0x",(DEC2HEX(R7))))</f>
        <v>0xFE</v>
      </c>
      <c r="T7" s="5" t="str">
        <f>DEC2BIN(R7,8)</f>
        <v>11111110</v>
      </c>
    </row>
    <row r="8" spans="1:20" x14ac:dyDescent="0.25">
      <c r="A8" s="48" t="s">
        <v>198</v>
      </c>
      <c r="B8" s="49"/>
      <c r="C8" s="50"/>
      <c r="E8" s="54">
        <v>15</v>
      </c>
      <c r="F8" s="55"/>
      <c r="G8" s="55"/>
      <c r="H8" s="55"/>
      <c r="I8" s="55"/>
      <c r="J8" s="55"/>
      <c r="K8" s="55"/>
      <c r="L8" s="56"/>
      <c r="M8" s="18" t="s">
        <v>4</v>
      </c>
      <c r="N8" s="5">
        <f>(IF(E8&lt;0,0,IF(E8&gt;15,15,ROUND(E8,0))))</f>
        <v>15</v>
      </c>
      <c r="O8" s="16" t="s">
        <v>4</v>
      </c>
      <c r="P8" s="5">
        <f>N8</f>
        <v>15</v>
      </c>
      <c r="Q8" s="25"/>
      <c r="R8" s="25"/>
      <c r="S8" s="2"/>
      <c r="T8" s="1"/>
    </row>
    <row r="9" spans="1:20" ht="15.75" thickBot="1" x14ac:dyDescent="0.3">
      <c r="A9" s="51"/>
      <c r="B9" s="52"/>
      <c r="C9" s="53"/>
      <c r="E9" s="57" t="s">
        <v>17</v>
      </c>
      <c r="F9" s="57"/>
      <c r="G9" s="57"/>
      <c r="H9" s="57"/>
      <c r="I9" s="57"/>
      <c r="J9" s="57"/>
      <c r="K9" s="57"/>
      <c r="L9" s="57"/>
      <c r="M9" s="1"/>
      <c r="P9" s="1"/>
      <c r="Q9" s="2" t="s">
        <v>18</v>
      </c>
      <c r="R9" s="13">
        <f>_xlfn.BITAND(P10,255)</f>
        <v>247</v>
      </c>
      <c r="S9" s="13" t="str">
        <f>IF(R9&lt;16,CONCATENATE("0x0",(DEC2HEX(R9))),CONCATENATE("0x",(DEC2HEX(R9))))</f>
        <v>0xF7</v>
      </c>
      <c r="T9" s="5" t="str">
        <f>DEC2BIN(R9,8)</f>
        <v>11110111</v>
      </c>
    </row>
    <row r="10" spans="1:20" x14ac:dyDescent="0.25">
      <c r="A10" s="58" t="s">
        <v>197</v>
      </c>
      <c r="B10" s="58"/>
      <c r="C10" s="58"/>
      <c r="E10" s="59">
        <v>4.1900000000000004</v>
      </c>
      <c r="F10" s="60"/>
      <c r="G10" s="60"/>
      <c r="H10" s="60"/>
      <c r="I10" s="60"/>
      <c r="J10" s="60"/>
      <c r="K10" s="60"/>
      <c r="L10" s="61"/>
      <c r="M10" s="65" t="s">
        <v>5</v>
      </c>
      <c r="N10" s="76">
        <f>(P10*Variables!C1/Variables!C3)*Variables!C2</f>
        <v>4.190476190476196</v>
      </c>
      <c r="O10" s="77" t="s">
        <v>5</v>
      </c>
      <c r="P10" s="79">
        <f>(IF(E10&lt;0,0,IF(E10&gt;4.8,4095,ROUND((E10/Variables!F3),0))))</f>
        <v>3575</v>
      </c>
      <c r="Q10" s="2"/>
      <c r="R10" s="3"/>
      <c r="S10" s="2"/>
      <c r="T10" s="1"/>
    </row>
    <row r="11" spans="1:20" x14ac:dyDescent="0.25">
      <c r="E11" s="62"/>
      <c r="F11" s="63"/>
      <c r="G11" s="63"/>
      <c r="H11" s="63"/>
      <c r="I11" s="63"/>
      <c r="J11" s="63"/>
      <c r="K11" s="63"/>
      <c r="L11" s="64"/>
      <c r="M11" s="66"/>
      <c r="N11" s="76"/>
      <c r="O11" s="78"/>
      <c r="P11" s="80"/>
      <c r="Q11" s="2" t="s">
        <v>19</v>
      </c>
      <c r="R11" s="13">
        <f>((_xlfn.BITAND(P10,3840))/(2^8))</f>
        <v>13</v>
      </c>
      <c r="S11" s="13" t="str">
        <f>IF(R11&lt;16,CONCATENATE("0x0",(DEC2HEX(R11))),CONCATENATE("0x",(DEC2HEX(R11))))</f>
        <v>0x0D</v>
      </c>
      <c r="T11" s="5" t="str">
        <f>DEC2BIN(R11,8)</f>
        <v>00001101</v>
      </c>
    </row>
    <row r="12" spans="1:20" x14ac:dyDescent="0.25">
      <c r="E12" s="57" t="s">
        <v>20</v>
      </c>
      <c r="F12" s="57"/>
      <c r="G12" s="57"/>
      <c r="H12" s="57"/>
      <c r="I12" s="57"/>
      <c r="J12" s="57"/>
      <c r="K12" s="57"/>
      <c r="L12" s="57"/>
      <c r="M12" s="4"/>
      <c r="N12" s="14"/>
      <c r="O12" s="6"/>
      <c r="P12" s="14"/>
      <c r="Q12" s="2"/>
      <c r="R12" s="3"/>
      <c r="S12" s="2"/>
      <c r="T12" s="1"/>
    </row>
    <row r="13" spans="1:20" x14ac:dyDescent="0.25">
      <c r="E13" s="72">
        <v>2.6</v>
      </c>
      <c r="F13" s="72"/>
      <c r="G13" s="72"/>
      <c r="H13" s="72"/>
      <c r="I13" s="72"/>
      <c r="J13" s="72"/>
      <c r="K13" s="72"/>
      <c r="L13" s="72"/>
      <c r="M13" s="17" t="s">
        <v>5</v>
      </c>
      <c r="N13" s="5">
        <f>(P13*Variables!C1/Variables!C3)*Variables!C2</f>
        <v>2.5998534798534831</v>
      </c>
      <c r="O13" s="2" t="s">
        <v>5</v>
      </c>
      <c r="P13" s="5">
        <f>(IF(E13&lt;0,0,IF(E13&gt;4.8,4095,ROUND((E13/Variables!F3),0))))</f>
        <v>2218</v>
      </c>
      <c r="Q13" s="2" t="s">
        <v>21</v>
      </c>
      <c r="R13" s="13">
        <f>_xlfn.BITAND(P13,255)</f>
        <v>170</v>
      </c>
      <c r="S13" s="13" t="str">
        <f>IF(R13&lt;16,CONCATENATE("0x0",(DEC2HEX(R13))),CONCATENATE("0x",(DEC2HEX(R13))))</f>
        <v>0xAA</v>
      </c>
      <c r="T13" s="5" t="str">
        <f>DEC2BIN(R13,8)</f>
        <v>10101010</v>
      </c>
    </row>
    <row r="14" spans="1:20" x14ac:dyDescent="0.25">
      <c r="E14" s="74" t="s">
        <v>23</v>
      </c>
      <c r="F14" s="74"/>
      <c r="G14" s="74"/>
      <c r="H14" s="74"/>
      <c r="I14" s="74"/>
      <c r="J14" s="74"/>
      <c r="K14" s="74"/>
      <c r="L14" s="74"/>
      <c r="M14" s="1"/>
      <c r="N14" s="15"/>
      <c r="P14" s="14"/>
      <c r="Q14" s="2"/>
      <c r="R14" s="2"/>
      <c r="S14" s="2"/>
      <c r="T14" s="1"/>
    </row>
    <row r="15" spans="1:20" x14ac:dyDescent="0.25">
      <c r="E15" s="72">
        <v>15</v>
      </c>
      <c r="F15" s="72"/>
      <c r="G15" s="72"/>
      <c r="H15" s="72"/>
      <c r="I15" s="72"/>
      <c r="J15" s="72"/>
      <c r="K15" s="72"/>
      <c r="L15" s="72"/>
      <c r="M15" s="2" t="s">
        <v>4</v>
      </c>
      <c r="N15" s="5">
        <f>(IF(E15&lt;0,0,IF(E15&gt;15,15,ROUND(E15,0))))</f>
        <v>15</v>
      </c>
      <c r="O15" s="2" t="s">
        <v>4</v>
      </c>
      <c r="P15" s="5">
        <f>N15</f>
        <v>15</v>
      </c>
      <c r="Q15" s="2" t="s">
        <v>22</v>
      </c>
      <c r="R15" s="13">
        <f>(P15*2^4)+((_xlfn.BITAND(P13,3840))/(2^8))</f>
        <v>248</v>
      </c>
      <c r="S15" s="13" t="str">
        <f>IF(R15&lt;16,CONCATENATE("0x0",(DEC2HEX(R15))),CONCATENATE("0x",(DEC2HEX(R15))))</f>
        <v>0xF8</v>
      </c>
      <c r="T15" s="5" t="str">
        <f>DEC2BIN(R15,8)</f>
        <v>11111000</v>
      </c>
    </row>
    <row r="16" spans="1:20" x14ac:dyDescent="0.25">
      <c r="E16" s="74" t="s">
        <v>24</v>
      </c>
      <c r="F16" s="74"/>
      <c r="G16" s="74"/>
      <c r="H16" s="74"/>
      <c r="I16" s="74"/>
      <c r="J16" s="74"/>
      <c r="K16" s="74"/>
      <c r="L16" s="74"/>
      <c r="M16" s="2"/>
      <c r="P16" s="14"/>
      <c r="Q16" s="3"/>
      <c r="R16" s="2"/>
      <c r="S16" s="2"/>
      <c r="T16" s="1"/>
    </row>
    <row r="17" spans="5:20" x14ac:dyDescent="0.25">
      <c r="E17" s="75">
        <v>2.8</v>
      </c>
      <c r="F17" s="75"/>
      <c r="G17" s="75"/>
      <c r="H17" s="75"/>
      <c r="I17" s="75"/>
      <c r="J17" s="75"/>
      <c r="K17" s="75"/>
      <c r="L17" s="75"/>
      <c r="M17" s="73" t="s">
        <v>5</v>
      </c>
      <c r="N17" s="76">
        <f>(P17*Variables!C1/Variables!C3)*Variables!C2</f>
        <v>2.8002930402930435</v>
      </c>
      <c r="O17" s="73" t="s">
        <v>5</v>
      </c>
      <c r="P17" s="76">
        <f>(IF(E17&lt;0,0,IF(E17&gt;4.8,4095,ROUND((E17/Variables!F3),0))))</f>
        <v>2389</v>
      </c>
      <c r="Q17" s="2" t="s">
        <v>25</v>
      </c>
      <c r="R17" s="13">
        <f>_xlfn.BITAND(P17,255)</f>
        <v>85</v>
      </c>
      <c r="S17" s="13" t="str">
        <f>IF(R17&lt;16,CONCATENATE("0x0",(DEC2HEX(R17))),CONCATENATE("0x",(DEC2HEX(R17))))</f>
        <v>0x55</v>
      </c>
      <c r="T17" s="5" t="str">
        <f>DEC2BIN(R17,8)</f>
        <v>01010101</v>
      </c>
    </row>
    <row r="18" spans="5:20" x14ac:dyDescent="0.25">
      <c r="E18" s="75"/>
      <c r="F18" s="75"/>
      <c r="G18" s="75"/>
      <c r="H18" s="75"/>
      <c r="I18" s="75"/>
      <c r="J18" s="75"/>
      <c r="K18" s="75"/>
      <c r="L18" s="75"/>
      <c r="M18" s="73"/>
      <c r="N18" s="76"/>
      <c r="O18" s="73"/>
      <c r="P18" s="76"/>
      <c r="Q18" s="2"/>
      <c r="R18" s="2"/>
      <c r="S18" s="2"/>
      <c r="T18" s="1"/>
    </row>
    <row r="19" spans="5:20" x14ac:dyDescent="0.25">
      <c r="E19" s="75"/>
      <c r="F19" s="75"/>
      <c r="G19" s="75"/>
      <c r="H19" s="75"/>
      <c r="I19" s="75"/>
      <c r="J19" s="75"/>
      <c r="K19" s="75"/>
      <c r="L19" s="75"/>
      <c r="M19" s="73"/>
      <c r="N19" s="76"/>
      <c r="O19" s="73"/>
      <c r="P19" s="76"/>
      <c r="Q19" s="2" t="s">
        <v>26</v>
      </c>
      <c r="R19" s="13">
        <f>((_xlfn.BITAND(P17,3840))/(2^8))</f>
        <v>9</v>
      </c>
      <c r="S19" s="13" t="str">
        <f>IF(R19&lt;16,CONCATENATE("0x0",(DEC2HEX(R19))),CONCATENATE("0x",(DEC2HEX(R19))))</f>
        <v>0x09</v>
      </c>
      <c r="T19" s="5" t="str">
        <f>DEC2BIN(R19,8)</f>
        <v>00001001</v>
      </c>
    </row>
    <row r="20" spans="5:20" x14ac:dyDescent="0.25">
      <c r="E20" s="57" t="s">
        <v>27</v>
      </c>
      <c r="F20" s="57"/>
      <c r="G20" s="57"/>
      <c r="H20" s="57"/>
      <c r="I20" s="57"/>
      <c r="J20" s="57"/>
      <c r="K20" s="57"/>
      <c r="L20" s="57"/>
      <c r="M20" s="1"/>
      <c r="P20" s="1"/>
      <c r="Q20" s="3"/>
      <c r="R20" s="2"/>
      <c r="S20" s="2"/>
      <c r="T20" s="1"/>
    </row>
    <row r="21" spans="5:20" x14ac:dyDescent="0.25">
      <c r="E21" s="75">
        <v>4.25</v>
      </c>
      <c r="F21" s="75"/>
      <c r="G21" s="75"/>
      <c r="H21" s="75"/>
      <c r="I21" s="75"/>
      <c r="J21" s="75"/>
      <c r="K21" s="75"/>
      <c r="L21" s="75"/>
      <c r="M21" s="73" t="s">
        <v>5</v>
      </c>
      <c r="N21" s="79">
        <f>(P21*Variables!C1/Variables!C3)*Variables!C2</f>
        <v>4.2502564102564158</v>
      </c>
      <c r="O21" s="73" t="s">
        <v>5</v>
      </c>
      <c r="P21" s="76">
        <f>(IF(E21&lt;0,0,IF(E21&gt;4.8,4095,ROUND((E21/Variables!F3),0))))</f>
        <v>3626</v>
      </c>
      <c r="Q21" s="2" t="s">
        <v>28</v>
      </c>
      <c r="R21" s="13">
        <f>_xlfn.BITAND(P21,255)</f>
        <v>42</v>
      </c>
      <c r="S21" s="13" t="str">
        <f>IF(R21&lt;16,CONCATENATE("0x0",(DEC2HEX(R21))),CONCATENATE("0x",(DEC2HEX(R21))))</f>
        <v>0x2A</v>
      </c>
      <c r="T21" s="5" t="str">
        <f>DEC2BIN(R21,8)</f>
        <v>00101010</v>
      </c>
    </row>
    <row r="22" spans="5:20" x14ac:dyDescent="0.25">
      <c r="E22" s="75"/>
      <c r="F22" s="75"/>
      <c r="G22" s="75"/>
      <c r="H22" s="75"/>
      <c r="I22" s="75"/>
      <c r="J22" s="75"/>
      <c r="K22" s="75"/>
      <c r="L22" s="75"/>
      <c r="M22" s="73"/>
      <c r="N22" s="82"/>
      <c r="O22" s="73"/>
      <c r="P22" s="76"/>
      <c r="Q22" s="2"/>
      <c r="R22" s="2"/>
      <c r="S22" s="2"/>
      <c r="T22" s="1"/>
    </row>
    <row r="23" spans="5:20" x14ac:dyDescent="0.25">
      <c r="E23" s="75"/>
      <c r="F23" s="75"/>
      <c r="G23" s="75"/>
      <c r="H23" s="75"/>
      <c r="I23" s="75"/>
      <c r="J23" s="75"/>
      <c r="K23" s="75"/>
      <c r="L23" s="75"/>
      <c r="M23" s="73"/>
      <c r="N23" s="80"/>
      <c r="O23" s="73"/>
      <c r="P23" s="76"/>
      <c r="Q23" s="2" t="s">
        <v>29</v>
      </c>
      <c r="R23" s="13">
        <f>((_xlfn.BITAND(P21,3840))/(2^8))</f>
        <v>14</v>
      </c>
      <c r="S23" s="13" t="str">
        <f>IF(R23&lt;16,CONCATENATE("0x0",(DEC2HEX(R23))),CONCATENATE("0x",(DEC2HEX(R23))))</f>
        <v>0x0E</v>
      </c>
      <c r="T23" s="5" t="str">
        <f>DEC2BIN(R23,8)</f>
        <v>00001110</v>
      </c>
    </row>
    <row r="24" spans="5:20" x14ac:dyDescent="0.25">
      <c r="E24" s="57" t="s">
        <v>31</v>
      </c>
      <c r="F24" s="57"/>
      <c r="G24" s="57"/>
      <c r="H24" s="57"/>
      <c r="I24" s="57"/>
      <c r="J24" s="57"/>
      <c r="K24" s="57"/>
      <c r="L24" s="57"/>
      <c r="M24" s="1"/>
      <c r="P24" s="1"/>
      <c r="Q24" s="2"/>
      <c r="R24" s="2"/>
      <c r="S24" s="2"/>
      <c r="T24" s="1"/>
    </row>
    <row r="25" spans="5:20" x14ac:dyDescent="0.25">
      <c r="E25" s="75">
        <v>2.5</v>
      </c>
      <c r="F25" s="75"/>
      <c r="G25" s="75"/>
      <c r="H25" s="75"/>
      <c r="I25" s="75"/>
      <c r="J25" s="75"/>
      <c r="K25" s="75"/>
      <c r="L25" s="75"/>
      <c r="M25" s="73" t="s">
        <v>5</v>
      </c>
      <c r="N25" s="76">
        <f>(P25*Variables!C1/Variables!C3)*Variables!C2</f>
        <v>2.5002197802197834</v>
      </c>
      <c r="O25" s="65" t="s">
        <v>5</v>
      </c>
      <c r="P25" s="76">
        <f>(IF(E25&lt;0,0,IF(E25&gt;4.8,4095,ROUND((E25/Variables!F3),0))))</f>
        <v>2133</v>
      </c>
      <c r="Q25" s="2" t="s">
        <v>32</v>
      </c>
      <c r="R25" s="13">
        <f>_xlfn.BITAND(P25,255)</f>
        <v>85</v>
      </c>
      <c r="S25" s="13" t="str">
        <f>IF(R25&lt;16,CONCATENATE("0x0",(DEC2HEX(R25))),CONCATENATE("0x",(DEC2HEX(R25))))</f>
        <v>0x55</v>
      </c>
      <c r="T25" s="5" t="str">
        <f>DEC2BIN(R25,8)</f>
        <v>01010101</v>
      </c>
    </row>
    <row r="26" spans="5:20" x14ac:dyDescent="0.25">
      <c r="E26" s="75"/>
      <c r="F26" s="75"/>
      <c r="G26" s="75"/>
      <c r="H26" s="75"/>
      <c r="I26" s="75"/>
      <c r="J26" s="75"/>
      <c r="K26" s="75"/>
      <c r="L26" s="75"/>
      <c r="M26" s="73"/>
      <c r="N26" s="76"/>
      <c r="O26" s="81"/>
      <c r="P26" s="76"/>
      <c r="Q26" s="2"/>
      <c r="R26" s="2"/>
      <c r="S26" s="2"/>
      <c r="T26" s="1"/>
    </row>
    <row r="27" spans="5:20" x14ac:dyDescent="0.25">
      <c r="E27" s="75"/>
      <c r="F27" s="75"/>
      <c r="G27" s="75"/>
      <c r="H27" s="75"/>
      <c r="I27" s="75"/>
      <c r="J27" s="75"/>
      <c r="K27" s="75"/>
      <c r="L27" s="75"/>
      <c r="M27" s="73"/>
      <c r="N27" s="76"/>
      <c r="O27" s="66"/>
      <c r="P27" s="76"/>
      <c r="Q27" s="2" t="s">
        <v>33</v>
      </c>
      <c r="R27" s="13">
        <f>((_xlfn.BITAND(P25,3840))/(2^8))</f>
        <v>8</v>
      </c>
      <c r="S27" s="13" t="str">
        <f>IF(R27&lt;16,CONCATENATE("0x0",(DEC2HEX(R27))),CONCATENATE("0x",(DEC2HEX(R27))))</f>
        <v>0x08</v>
      </c>
      <c r="T27" s="5" t="str">
        <f>DEC2BIN(R27,8)</f>
        <v>00001000</v>
      </c>
    </row>
    <row r="28" spans="5:20" x14ac:dyDescent="0.25">
      <c r="E28" s="57" t="s">
        <v>34</v>
      </c>
      <c r="F28" s="57"/>
      <c r="G28" s="57"/>
      <c r="H28" s="57"/>
      <c r="I28" s="57"/>
      <c r="J28" s="57"/>
      <c r="K28" s="57"/>
      <c r="L28" s="57"/>
      <c r="M28" s="1"/>
      <c r="P28" s="1"/>
      <c r="Q28" s="2"/>
      <c r="R28" s="2"/>
      <c r="S28" s="2"/>
      <c r="T28" s="1"/>
    </row>
    <row r="29" spans="5:20" x14ac:dyDescent="0.25">
      <c r="E29" s="59">
        <v>4.1500000000000004</v>
      </c>
      <c r="F29" s="60"/>
      <c r="G29" s="60"/>
      <c r="H29" s="60"/>
      <c r="I29" s="60"/>
      <c r="J29" s="60"/>
      <c r="K29" s="60"/>
      <c r="L29" s="61"/>
      <c r="M29" s="65" t="s">
        <v>5</v>
      </c>
      <c r="N29" s="76">
        <f>(P29*Variables!C1/Variables!C3)*Variables!C2</f>
        <v>4.1494505494505551</v>
      </c>
      <c r="O29" s="73" t="s">
        <v>5</v>
      </c>
      <c r="P29" s="76">
        <f>(IF(E29&lt;0,0,IF(E29&gt;4.8,4095,ROUND((E29/Variables!F3),0))))</f>
        <v>3540</v>
      </c>
      <c r="Q29" s="2" t="s">
        <v>35</v>
      </c>
      <c r="R29" s="13">
        <f>_xlfn.BITAND(P29,255)</f>
        <v>212</v>
      </c>
      <c r="S29" s="13" t="str">
        <f>IF(R29&lt;16,CONCATENATE("0x0",(DEC2HEX(R29))),CONCATENATE("0x",(DEC2HEX(R29))))</f>
        <v>0xD4</v>
      </c>
      <c r="T29" s="5" t="str">
        <f>DEC2BIN(R29,8)</f>
        <v>11010100</v>
      </c>
    </row>
    <row r="30" spans="5:20" x14ac:dyDescent="0.25">
      <c r="E30" s="83"/>
      <c r="F30" s="84"/>
      <c r="G30" s="84"/>
      <c r="H30" s="84"/>
      <c r="I30" s="84"/>
      <c r="J30" s="84"/>
      <c r="K30" s="84"/>
      <c r="L30" s="85"/>
      <c r="M30" s="81"/>
      <c r="N30" s="76"/>
      <c r="O30" s="73"/>
      <c r="P30" s="76"/>
      <c r="Q30" s="2"/>
      <c r="R30" s="2"/>
      <c r="S30" s="2"/>
      <c r="T30" s="1"/>
    </row>
    <row r="31" spans="5:20" x14ac:dyDescent="0.25">
      <c r="E31" s="62"/>
      <c r="F31" s="63"/>
      <c r="G31" s="63"/>
      <c r="H31" s="63"/>
      <c r="I31" s="63"/>
      <c r="J31" s="63"/>
      <c r="K31" s="63"/>
      <c r="L31" s="64"/>
      <c r="M31" s="66"/>
      <c r="N31" s="76"/>
      <c r="O31" s="73"/>
      <c r="P31" s="76"/>
      <c r="Q31" s="2" t="s">
        <v>38</v>
      </c>
      <c r="R31" s="13">
        <f>((_xlfn.BITAND(P29,3840))/(2^8))</f>
        <v>13</v>
      </c>
      <c r="S31" s="13" t="str">
        <f>IF(R31&lt;16,CONCATENATE("0x0",(DEC2HEX(R31))),CONCATENATE("0x",(DEC2HEX(R31))))</f>
        <v>0x0D</v>
      </c>
      <c r="T31" s="5" t="str">
        <f>DEC2BIN(R31,8)</f>
        <v>00001101</v>
      </c>
    </row>
    <row r="32" spans="5:20" x14ac:dyDescent="0.25">
      <c r="E32" s="57" t="s">
        <v>36</v>
      </c>
      <c r="F32" s="57"/>
      <c r="G32" s="57"/>
      <c r="H32" s="57"/>
      <c r="I32" s="57"/>
      <c r="J32" s="57"/>
      <c r="K32" s="57"/>
      <c r="L32" s="57"/>
      <c r="M32" s="1"/>
      <c r="P32" s="1"/>
      <c r="Q32" s="2"/>
      <c r="R32" s="2"/>
      <c r="S32" s="2"/>
      <c r="T32" s="1"/>
    </row>
    <row r="33" spans="5:20" x14ac:dyDescent="0.25">
      <c r="E33" s="75">
        <v>2.7</v>
      </c>
      <c r="F33" s="75"/>
      <c r="G33" s="75"/>
      <c r="H33" s="75"/>
      <c r="I33" s="75"/>
      <c r="J33" s="75"/>
      <c r="K33" s="75"/>
      <c r="L33" s="75"/>
      <c r="M33" s="73" t="s">
        <v>5</v>
      </c>
      <c r="N33" s="76">
        <f>(P33*Variables!C1/Variables!C3)*Variables!C2</f>
        <v>2.6994871794871829</v>
      </c>
      <c r="O33" s="73" t="s">
        <v>5</v>
      </c>
      <c r="P33" s="76">
        <f>(IF(E33&lt;0,0,IF(E33&gt;4.8,4095,ROUND((E33/Variables!F3),0))))</f>
        <v>2303</v>
      </c>
      <c r="Q33" s="2" t="s">
        <v>37</v>
      </c>
      <c r="R33" s="13">
        <f>_xlfn.BITAND(P33,255)</f>
        <v>255</v>
      </c>
      <c r="S33" s="13" t="str">
        <f>IF(R33&lt;16,CONCATENATE("0x0",(DEC2HEX(R33))),CONCATENATE("0x",(DEC2HEX(R33))))</f>
        <v>0xFF</v>
      </c>
      <c r="T33" s="5" t="str">
        <f>DEC2BIN(R33,8)</f>
        <v>11111111</v>
      </c>
    </row>
    <row r="34" spans="5:20" x14ac:dyDescent="0.25">
      <c r="E34" s="75"/>
      <c r="F34" s="75"/>
      <c r="G34" s="75"/>
      <c r="H34" s="75"/>
      <c r="I34" s="75"/>
      <c r="J34" s="75"/>
      <c r="K34" s="75"/>
      <c r="L34" s="75"/>
      <c r="M34" s="73"/>
      <c r="N34" s="76"/>
      <c r="O34" s="73"/>
      <c r="P34" s="76"/>
      <c r="Q34" s="2"/>
      <c r="R34" s="2"/>
      <c r="S34" s="2"/>
      <c r="T34" s="1"/>
    </row>
    <row r="35" spans="5:20" x14ac:dyDescent="0.25">
      <c r="E35" s="75"/>
      <c r="F35" s="75"/>
      <c r="G35" s="75"/>
      <c r="H35" s="75"/>
      <c r="I35" s="75"/>
      <c r="J35" s="75"/>
      <c r="K35" s="75"/>
      <c r="L35" s="75"/>
      <c r="M35" s="73"/>
      <c r="N35" s="76"/>
      <c r="O35" s="73"/>
      <c r="P35" s="76"/>
      <c r="Q35" s="2" t="s">
        <v>39</v>
      </c>
      <c r="R35" s="13">
        <f>((_xlfn.BITAND(P33,3840))/(2^8))</f>
        <v>8</v>
      </c>
      <c r="S35" s="13" t="str">
        <f>IF(R35&lt;16,CONCATENATE("0x0",(DEC2HEX(R35))),CONCATENATE("0x",(DEC2HEX(R35))))</f>
        <v>0x08</v>
      </c>
      <c r="T35" s="5" t="str">
        <f>DEC2BIN(R35,8)</f>
        <v>00001000</v>
      </c>
    </row>
    <row r="36" spans="5:20" x14ac:dyDescent="0.25">
      <c r="E36" s="57" t="s">
        <v>42</v>
      </c>
      <c r="F36" s="57"/>
      <c r="G36" s="57"/>
      <c r="H36" s="57"/>
      <c r="I36" s="57"/>
      <c r="J36" s="57"/>
      <c r="K36" s="57"/>
      <c r="L36" s="57"/>
      <c r="M36" s="1"/>
      <c r="P36" s="1"/>
      <c r="Q36" s="2"/>
      <c r="R36" s="2"/>
      <c r="S36" s="2"/>
      <c r="T36" s="1"/>
    </row>
    <row r="37" spans="5:20" x14ac:dyDescent="0.25">
      <c r="E37" s="54">
        <v>5</v>
      </c>
      <c r="F37" s="55"/>
      <c r="G37" s="55"/>
      <c r="H37" s="55"/>
      <c r="I37" s="55"/>
      <c r="J37" s="55"/>
      <c r="K37" s="55"/>
      <c r="L37" s="56"/>
      <c r="M37" s="16"/>
      <c r="N37" s="22">
        <f>IF(E37&lt;0,"0",IF(E37&gt;1024,"1024",ROUND(E37,0)))</f>
        <v>5</v>
      </c>
      <c r="O37" s="22" t="str">
        <f>N40</f>
        <v>s</v>
      </c>
      <c r="P37" s="23">
        <f>N37</f>
        <v>5</v>
      </c>
      <c r="Q37" s="2" t="s">
        <v>41</v>
      </c>
      <c r="R37" s="13">
        <f>_xlfn.BITAND(P37,255)</f>
        <v>5</v>
      </c>
      <c r="S37" s="13" t="str">
        <f>IF(R37&lt;16,CONCATENATE("0x0",(DEC2HEX(R37))),CONCATENATE("0x",(DEC2HEX(R37))))</f>
        <v>0x05</v>
      </c>
      <c r="T37" s="5" t="str">
        <f>DEC2BIN(R37,8)</f>
        <v>00000101</v>
      </c>
    </row>
    <row r="38" spans="5:20" x14ac:dyDescent="0.25">
      <c r="E38" s="89" t="s">
        <v>40</v>
      </c>
      <c r="F38" s="90"/>
      <c r="G38" s="90"/>
      <c r="H38" s="90"/>
      <c r="I38" s="90"/>
      <c r="J38" s="90"/>
      <c r="K38" s="90"/>
      <c r="L38" s="91"/>
      <c r="M38" s="11"/>
      <c r="P38" s="11"/>
      <c r="Q38" s="24"/>
      <c r="R38" s="24"/>
      <c r="S38" s="24"/>
      <c r="T38" s="1"/>
    </row>
    <row r="39" spans="5:20" x14ac:dyDescent="0.25">
      <c r="E39" s="86" t="s">
        <v>45</v>
      </c>
      <c r="F39" s="87"/>
      <c r="G39" s="87"/>
      <c r="H39" s="88"/>
      <c r="I39" s="86" t="s">
        <v>46</v>
      </c>
      <c r="J39" s="87"/>
      <c r="K39" s="87"/>
      <c r="L39" s="88"/>
      <c r="M39" s="1"/>
      <c r="P39" s="1"/>
      <c r="Q39" s="2" t="s">
        <v>43</v>
      </c>
      <c r="R39" s="13">
        <f>(P40*4)+((_xlfn.BITAND(P37,768)/2^8))</f>
        <v>8</v>
      </c>
      <c r="S39" s="13" t="str">
        <f>IF(R39&lt;16,CONCATENATE("0x0",(DEC2HEX(R39))),CONCATENATE("0x",(DEC2HEX(R39))))</f>
        <v>0x08</v>
      </c>
      <c r="T39" s="5" t="str">
        <f>DEC2BIN(R39,8)</f>
        <v>00001000</v>
      </c>
    </row>
    <row r="40" spans="5:20" x14ac:dyDescent="0.25">
      <c r="E40" s="54">
        <v>1</v>
      </c>
      <c r="F40" s="55"/>
      <c r="G40" s="55"/>
      <c r="H40" s="56"/>
      <c r="I40" s="72">
        <v>0</v>
      </c>
      <c r="J40" s="72"/>
      <c r="K40" s="72"/>
      <c r="L40" s="72"/>
      <c r="M40" s="21"/>
      <c r="N40" s="13" t="str">
        <f>IF(((E40*2 +I40) = 3),"min",IF((E40*2+I40 = 2), "s",IF((E40*2+I40=1),"ms","us")))</f>
        <v>s</v>
      </c>
      <c r="O40" s="16"/>
      <c r="P40" s="22">
        <f>IF(N40="min",3,IF(N40="s",2,IF(N40="ms",1,0)))</f>
        <v>2</v>
      </c>
      <c r="Q40" s="2"/>
      <c r="R40" s="2"/>
      <c r="S40" s="2"/>
      <c r="T40" s="1"/>
    </row>
    <row r="41" spans="5:20" x14ac:dyDescent="0.25">
      <c r="E41" s="57" t="s">
        <v>201</v>
      </c>
      <c r="F41" s="57"/>
      <c r="G41" s="57"/>
      <c r="H41" s="57"/>
      <c r="I41" s="57"/>
      <c r="J41" s="57"/>
      <c r="K41" s="57"/>
      <c r="L41" s="57"/>
      <c r="M41" s="11"/>
      <c r="P41" s="11"/>
      <c r="Q41" s="24" t="s">
        <v>44</v>
      </c>
      <c r="R41" s="13">
        <f>_xlfn.BITAND(P42,255)</f>
        <v>5</v>
      </c>
      <c r="S41" s="13" t="str">
        <f>IF(R41&lt;16,CONCATENATE("0x0",(DEC2HEX(R41))),CONCATENATE("0x",(DEC2HEX(R41))))</f>
        <v>0x05</v>
      </c>
      <c r="T41" s="5" t="str">
        <f>DEC2BIN(R41,8)</f>
        <v>00000101</v>
      </c>
    </row>
    <row r="42" spans="5:20" x14ac:dyDescent="0.25">
      <c r="E42" s="72">
        <v>5</v>
      </c>
      <c r="F42" s="72"/>
      <c r="G42" s="72"/>
      <c r="H42" s="72"/>
      <c r="I42" s="72"/>
      <c r="J42" s="72"/>
      <c r="K42" s="72"/>
      <c r="L42" s="72"/>
      <c r="M42" s="16"/>
      <c r="N42" s="22">
        <f>IF(E42&lt;0,"0",IF(E42&gt;1024,"1024",ROUND(E42,0)))</f>
        <v>5</v>
      </c>
      <c r="O42" s="16"/>
      <c r="P42" s="22">
        <f>N42</f>
        <v>5</v>
      </c>
      <c r="Q42" s="2"/>
      <c r="R42" s="2"/>
      <c r="S42" s="2"/>
      <c r="T42" s="1"/>
    </row>
    <row r="43" spans="5:20" x14ac:dyDescent="0.25">
      <c r="E43" s="57" t="s">
        <v>180</v>
      </c>
      <c r="F43" s="57"/>
      <c r="G43" s="57"/>
      <c r="H43" s="57"/>
      <c r="I43" s="57"/>
      <c r="J43" s="57"/>
      <c r="K43" s="57"/>
      <c r="L43" s="57"/>
      <c r="M43" s="11"/>
      <c r="P43" s="11"/>
      <c r="Q43" s="2" t="s">
        <v>47</v>
      </c>
      <c r="R43" s="13">
        <f>(P45*4)+((_xlfn.BITAND(P42,768)/2^8))</f>
        <v>8</v>
      </c>
      <c r="S43" s="13" t="str">
        <f>IF(R43&lt;16,CONCATENATE("0x0",(DEC2HEX(R43))),CONCATENATE("0x",(DEC2HEX(R43))))</f>
        <v>0x08</v>
      </c>
      <c r="T43" s="5" t="str">
        <f>DEC2BIN(R43,8)</f>
        <v>00001000</v>
      </c>
    </row>
    <row r="44" spans="5:20" x14ac:dyDescent="0.25">
      <c r="E44" s="86" t="s">
        <v>82</v>
      </c>
      <c r="F44" s="87"/>
      <c r="G44" s="87"/>
      <c r="H44" s="88"/>
      <c r="I44" s="86" t="s">
        <v>179</v>
      </c>
      <c r="J44" s="87"/>
      <c r="K44" s="87"/>
      <c r="L44" s="88"/>
      <c r="M44" s="11"/>
      <c r="P44" s="11"/>
      <c r="Q44" s="2"/>
      <c r="R44" s="2"/>
      <c r="S44" s="2"/>
      <c r="T44" s="1"/>
    </row>
    <row r="45" spans="5:20" x14ac:dyDescent="0.25">
      <c r="E45" s="75">
        <v>1</v>
      </c>
      <c r="F45" s="75"/>
      <c r="G45" s="75"/>
      <c r="H45" s="75"/>
      <c r="I45" s="75">
        <v>0</v>
      </c>
      <c r="J45" s="75"/>
      <c r="K45" s="75"/>
      <c r="L45" s="75"/>
      <c r="M45" s="16"/>
      <c r="N45" s="22" t="str">
        <f>IF(((E45*2 +I45) = 3),"min",IF((E45*2+I45 = 2), "s",IF((E45*2+I45=1),"ms","us")))</f>
        <v>s</v>
      </c>
      <c r="O45" s="16"/>
      <c r="P45" s="22">
        <f>IF(N45="min",3,IF(N45="s",2,IF(N45="ms",1,0)))</f>
        <v>2</v>
      </c>
      <c r="Q45" s="16"/>
      <c r="R45" s="16"/>
      <c r="S45" s="16"/>
      <c r="T45" s="1"/>
    </row>
    <row r="46" spans="5:20" x14ac:dyDescent="0.25">
      <c r="E46" s="57" t="s">
        <v>49</v>
      </c>
      <c r="F46" s="57"/>
      <c r="G46" s="57"/>
      <c r="H46" s="57"/>
      <c r="I46" s="57"/>
      <c r="J46" s="57"/>
      <c r="K46" s="57"/>
      <c r="L46" s="57"/>
      <c r="M46" s="11"/>
      <c r="P46" s="11"/>
      <c r="Q46" s="24" t="s">
        <v>48</v>
      </c>
      <c r="R46" s="26">
        <f>_xlfn.BITAND(P47,255)</f>
        <v>100</v>
      </c>
      <c r="S46" s="26" t="str">
        <f>IF(R46&lt;16,CONCATENATE("0x0",(DEC2HEX(R46))),CONCATENATE("0x",(DEC2HEX(R46))))</f>
        <v>0x64</v>
      </c>
      <c r="T46" s="5" t="str">
        <f>DEC2BIN(R46,8)</f>
        <v>01100100</v>
      </c>
    </row>
    <row r="47" spans="5:20" x14ac:dyDescent="0.25">
      <c r="E47" s="97">
        <v>100</v>
      </c>
      <c r="F47" s="97"/>
      <c r="G47" s="97"/>
      <c r="H47" s="97"/>
      <c r="I47" s="97"/>
      <c r="J47" s="97"/>
      <c r="K47" s="97"/>
      <c r="L47" s="97"/>
      <c r="M47" s="16"/>
      <c r="N47" s="22">
        <f>IF(E47&lt;0, "0", IF(E47 &gt; 511, "511",ROUND(E47,0)))</f>
        <v>100</v>
      </c>
      <c r="O47" s="22" t="str">
        <f>N49</f>
        <v>ms</v>
      </c>
      <c r="P47" s="22">
        <f>N47</f>
        <v>100</v>
      </c>
      <c r="Q47" s="2"/>
      <c r="R47" s="2"/>
      <c r="S47" s="2"/>
      <c r="T47" s="1"/>
    </row>
    <row r="48" spans="5:20" x14ac:dyDescent="0.25">
      <c r="E48" s="98" t="s">
        <v>50</v>
      </c>
      <c r="F48" s="98"/>
      <c r="G48" s="98"/>
      <c r="H48" s="98"/>
      <c r="I48" s="98"/>
      <c r="J48" s="98"/>
      <c r="K48" s="98"/>
      <c r="L48" s="98"/>
      <c r="M48" s="11"/>
      <c r="P48" s="11"/>
      <c r="Q48" s="2" t="s">
        <v>51</v>
      </c>
      <c r="R48" s="13">
        <f>(P49*2)+((_xlfn.BITAND(P47,256)/2^8))</f>
        <v>2</v>
      </c>
      <c r="S48" s="13" t="str">
        <f>IF(R48&lt;16,CONCATENATE("0x0",(DEC2HEX(R48))),CONCATENATE("0x",(DEC2HEX(R48))))</f>
        <v>0x02</v>
      </c>
      <c r="T48" s="5" t="str">
        <f>DEC2BIN(R48,8)</f>
        <v>00000010</v>
      </c>
    </row>
    <row r="49" spans="5:20" x14ac:dyDescent="0.25">
      <c r="E49" s="72">
        <v>1</v>
      </c>
      <c r="F49" s="72"/>
      <c r="G49" s="72"/>
      <c r="H49" s="72"/>
      <c r="I49" s="72"/>
      <c r="J49" s="72"/>
      <c r="K49" s="72"/>
      <c r="L49" s="72"/>
      <c r="M49" s="20"/>
      <c r="N49" s="13" t="str">
        <f>IF((E49=1),"ms","us")</f>
        <v>ms</v>
      </c>
      <c r="O49" s="2"/>
      <c r="P49" s="13">
        <f>IF(N49="ms",1,0)</f>
        <v>1</v>
      </c>
      <c r="Q49" s="2"/>
      <c r="R49" s="2"/>
      <c r="S49" s="2"/>
      <c r="T49" s="1"/>
    </row>
    <row r="50" spans="5:20" x14ac:dyDescent="0.25">
      <c r="E50" s="99" t="s">
        <v>52</v>
      </c>
      <c r="F50" s="99"/>
      <c r="G50" s="99"/>
      <c r="H50" s="99"/>
      <c r="I50" s="99"/>
      <c r="J50" s="99"/>
      <c r="K50" s="99"/>
      <c r="L50" s="99"/>
      <c r="P50" s="1"/>
      <c r="Q50" s="1"/>
      <c r="R50" s="1"/>
      <c r="S50" s="1"/>
      <c r="T50" s="1"/>
    </row>
    <row r="51" spans="5:20" x14ac:dyDescent="0.25">
      <c r="E51" s="100">
        <v>5</v>
      </c>
      <c r="F51" s="100"/>
      <c r="G51" s="100"/>
      <c r="H51" s="100"/>
      <c r="I51" s="100"/>
      <c r="J51" s="100"/>
      <c r="K51" s="100"/>
      <c r="L51" s="100"/>
      <c r="M51" s="16"/>
      <c r="N51" s="22">
        <f>IF(E51&lt;0, "0", IF(E51 &gt; 1024, "1024",ROUND(E51,0)))</f>
        <v>5</v>
      </c>
      <c r="O51" s="22" t="str">
        <f>N53</f>
        <v>s</v>
      </c>
      <c r="P51" s="23">
        <f>N51</f>
        <v>5</v>
      </c>
      <c r="Q51" s="2" t="s">
        <v>53</v>
      </c>
      <c r="R51" s="13">
        <f>_xlfn.BITAND(P51,255)</f>
        <v>5</v>
      </c>
      <c r="S51" s="13" t="str">
        <f>IF(R51&lt;16,CONCATENATE("0x0",(DEC2HEX(R51))),CONCATENATE("0x",(DEC2HEX(R51))))</f>
        <v>0x05</v>
      </c>
      <c r="T51" s="5" t="str">
        <f>DEC2BIN(R51,8)</f>
        <v>00000101</v>
      </c>
    </row>
    <row r="52" spans="5:20" x14ac:dyDescent="0.25">
      <c r="E52" s="57" t="s">
        <v>54</v>
      </c>
      <c r="F52" s="57"/>
      <c r="G52" s="57"/>
      <c r="H52" s="57"/>
      <c r="I52" s="57"/>
      <c r="J52" s="57"/>
      <c r="K52" s="57"/>
      <c r="L52" s="57"/>
      <c r="M52" s="1"/>
      <c r="P52" s="1"/>
      <c r="Q52" s="2"/>
      <c r="R52" s="2"/>
      <c r="S52" s="2"/>
      <c r="T52" s="1"/>
    </row>
    <row r="53" spans="5:20" x14ac:dyDescent="0.25">
      <c r="E53" s="92" t="s">
        <v>55</v>
      </c>
      <c r="F53" s="93"/>
      <c r="G53" s="93"/>
      <c r="H53" s="57" t="s">
        <v>56</v>
      </c>
      <c r="I53" s="57"/>
      <c r="J53" s="57"/>
      <c r="K53" s="86" t="s">
        <v>10</v>
      </c>
      <c r="L53" s="88"/>
      <c r="M53" s="20" t="s">
        <v>10</v>
      </c>
      <c r="N53" s="13" t="str">
        <f>IF(((K54*2 +L54) = 3),"min",IF((K54*2+L54 = 2), "s",IF((K54*2+L54=1),"ms","us")))</f>
        <v>s</v>
      </c>
      <c r="O53" s="2"/>
      <c r="P53" s="1"/>
      <c r="Q53" s="2" t="s">
        <v>59</v>
      </c>
      <c r="R53" s="13">
        <f>(P54*4)+((_xlfn.BITAND(P51,768)/2^8))</f>
        <v>88</v>
      </c>
      <c r="S53" s="13" t="str">
        <f>IF(R53&lt;16,CONCATENATE("0x0",(DEC2HEX(R53))),CONCATENATE("0x",(DEC2HEX(R53))))</f>
        <v>0x58</v>
      </c>
      <c r="T53" s="5" t="str">
        <f>DEC2BIN(R53,8)</f>
        <v>01011000</v>
      </c>
    </row>
    <row r="54" spans="5:20" x14ac:dyDescent="0.25">
      <c r="E54" s="94"/>
      <c r="F54" s="95"/>
      <c r="G54" s="96"/>
      <c r="H54" s="12">
        <v>1</v>
      </c>
      <c r="I54" s="12">
        <v>0</v>
      </c>
      <c r="J54" s="12">
        <v>1</v>
      </c>
      <c r="K54" s="12">
        <v>1</v>
      </c>
      <c r="L54" s="12">
        <v>0</v>
      </c>
      <c r="M54" s="20" t="s">
        <v>57</v>
      </c>
      <c r="N54" s="13">
        <f>IF(AND(H54 = 0,I54=0,J54=0), 4,IF(AND(H54 = 0,I54=0,J54=1),8,IF(AND(H54 = 0,I54=1,J54=0),16,IF(AND(H54 = 0,I54=1,J54=1),24,IF(AND(H54 = 1,I54=0,J54=0),32,IF(AND(H54 = 1,I54=0,J54=1),48,IF(AND(H54 = 1,I54=1,J54=0),64,IF(AND(H54 = 1,I54=1,J54=1),96,"false"))))))))</f>
        <v>48</v>
      </c>
      <c r="O54" s="2" t="s">
        <v>58</v>
      </c>
      <c r="P54" s="5">
        <f>BIN2DEC(CONCATENATE(H54,I54,J54,K54,L54))</f>
        <v>22</v>
      </c>
      <c r="Q54" s="2"/>
      <c r="R54" s="2"/>
      <c r="S54" s="2"/>
      <c r="T54" s="1"/>
    </row>
    <row r="55" spans="5:20" x14ac:dyDescent="0.25">
      <c r="E55" s="57" t="s">
        <v>60</v>
      </c>
      <c r="F55" s="57"/>
      <c r="G55" s="57"/>
      <c r="H55" s="57"/>
      <c r="I55" s="57"/>
      <c r="J55" s="57"/>
      <c r="K55" s="57"/>
      <c r="L55" s="57"/>
      <c r="P55" s="1"/>
      <c r="Q55" s="1"/>
      <c r="R55" s="1"/>
      <c r="S55" s="1"/>
      <c r="T55" s="1"/>
    </row>
    <row r="56" spans="5:20" x14ac:dyDescent="0.25">
      <c r="E56" s="72">
        <v>5</v>
      </c>
      <c r="F56" s="72"/>
      <c r="G56" s="72"/>
      <c r="H56" s="72"/>
      <c r="I56" s="72"/>
      <c r="J56" s="72"/>
      <c r="K56" s="72"/>
      <c r="L56" s="72"/>
      <c r="M56" s="16"/>
      <c r="N56" s="22">
        <f>IF(E56&lt;0, "0", IF(E56 &gt; 1024, "1024",ROUND(E56,0)))</f>
        <v>5</v>
      </c>
      <c r="O56" s="22" t="str">
        <f>N58</f>
        <v>s</v>
      </c>
      <c r="P56" s="23">
        <f>N56</f>
        <v>5</v>
      </c>
      <c r="Q56" s="2" t="s">
        <v>64</v>
      </c>
      <c r="R56" s="13">
        <f>_xlfn.BITAND(P56,255)</f>
        <v>5</v>
      </c>
      <c r="S56" s="13" t="str">
        <f>IF(R56&lt;16,CONCATENATE("0x0",(DEC2HEX(R56))),CONCATENATE("0x",(DEC2HEX(R56))))</f>
        <v>0x05</v>
      </c>
      <c r="T56" s="5" t="str">
        <f>DEC2BIN(R56,8)</f>
        <v>00000101</v>
      </c>
    </row>
    <row r="57" spans="5:20" x14ac:dyDescent="0.25">
      <c r="E57" s="57" t="s">
        <v>61</v>
      </c>
      <c r="F57" s="57"/>
      <c r="G57" s="57"/>
      <c r="H57" s="57"/>
      <c r="I57" s="57"/>
      <c r="J57" s="57"/>
      <c r="K57" s="57"/>
      <c r="L57" s="57"/>
      <c r="M57" s="1"/>
      <c r="P57" s="1"/>
      <c r="Q57" s="2"/>
      <c r="R57" s="2"/>
      <c r="S57" s="2"/>
      <c r="T57" s="1"/>
    </row>
    <row r="58" spans="5:20" x14ac:dyDescent="0.25">
      <c r="E58" s="92" t="s">
        <v>55</v>
      </c>
      <c r="F58" s="93"/>
      <c r="G58" s="93"/>
      <c r="H58" s="57" t="s">
        <v>56</v>
      </c>
      <c r="I58" s="57"/>
      <c r="J58" s="57"/>
      <c r="K58" s="86" t="s">
        <v>10</v>
      </c>
      <c r="L58" s="88"/>
      <c r="M58" s="20" t="s">
        <v>10</v>
      </c>
      <c r="N58" s="13" t="str">
        <f>IF(((K59*2 +L59) = 3),"min",IF((K59*2+L59 = 2), "s",IF((K59*2+L59=1),"ms","us")))</f>
        <v>s</v>
      </c>
      <c r="O58" s="2"/>
      <c r="P58" s="1"/>
      <c r="Q58" s="2" t="s">
        <v>65</v>
      </c>
      <c r="R58" s="13">
        <f>(P59*4)+((_xlfn.BITAND(P56,768)/2^8))</f>
        <v>104</v>
      </c>
      <c r="S58" s="13" t="str">
        <f>IF(R58&lt;16,CONCATENATE("0x0",(DEC2HEX(R58))),CONCATENATE("0x",(DEC2HEX(R58))))</f>
        <v>0x68</v>
      </c>
      <c r="T58" s="5" t="str">
        <f>DEC2BIN(R58,8)</f>
        <v>01101000</v>
      </c>
    </row>
    <row r="59" spans="5:20" x14ac:dyDescent="0.25">
      <c r="E59" s="94"/>
      <c r="F59" s="95"/>
      <c r="G59" s="96"/>
      <c r="H59" s="12">
        <v>1</v>
      </c>
      <c r="I59" s="12">
        <v>1</v>
      </c>
      <c r="J59" s="12">
        <v>0</v>
      </c>
      <c r="K59" s="12">
        <v>1</v>
      </c>
      <c r="L59" s="12">
        <v>0</v>
      </c>
      <c r="M59" s="20" t="s">
        <v>57</v>
      </c>
      <c r="N59" s="13">
        <f>IF(AND(H59 = 0,I59=0,J59=0), 1,IF(AND(H59 = 0,I59=0,J59=1),2,IF(AND(H59 = 0,I59=1,J59=0),4,IF(AND(H59 = 0,I59=1,J59=1),6,IF(AND(H59 = 1,I59=0,J59=0),8,IF(AND(H59 = 1,I59=0,J59=1),12,IF(AND(H59 = 1,I59=1,J59=0),16,IF(AND(H59 = 1,I59=1,J59=1),24,"false"))))))))</f>
        <v>16</v>
      </c>
      <c r="O59" s="2" t="s">
        <v>58</v>
      </c>
      <c r="P59" s="5">
        <f>BIN2DEC(CONCATENATE(H59,I59,J59,K59,L59))</f>
        <v>26</v>
      </c>
      <c r="Q59" s="2"/>
      <c r="R59" s="2"/>
      <c r="S59" s="2"/>
      <c r="T59" s="1"/>
    </row>
    <row r="60" spans="5:20" x14ac:dyDescent="0.25">
      <c r="E60" s="57" t="s">
        <v>62</v>
      </c>
      <c r="F60" s="57"/>
      <c r="G60" s="57"/>
      <c r="H60" s="57"/>
      <c r="I60" s="57"/>
      <c r="J60" s="57"/>
      <c r="K60" s="57"/>
      <c r="L60" s="57"/>
      <c r="P60" s="1"/>
      <c r="Q60" s="1"/>
      <c r="R60" s="1"/>
      <c r="S60" s="1"/>
      <c r="T60" s="1"/>
    </row>
    <row r="61" spans="5:20" x14ac:dyDescent="0.25">
      <c r="E61" s="72">
        <v>100</v>
      </c>
      <c r="F61" s="72"/>
      <c r="G61" s="72"/>
      <c r="H61" s="72"/>
      <c r="I61" s="72"/>
      <c r="J61" s="72"/>
      <c r="K61" s="72"/>
      <c r="L61" s="72"/>
      <c r="M61" s="16"/>
      <c r="N61" s="22">
        <f>IF(E61&lt;0, "0", IF(E61 &gt; 1024, "1024",ROUND(E61,0)))</f>
        <v>100</v>
      </c>
      <c r="O61" s="22" t="str">
        <f>N63</f>
        <v>ms</v>
      </c>
      <c r="P61" s="23">
        <f>N61</f>
        <v>100</v>
      </c>
      <c r="Q61" s="2" t="s">
        <v>66</v>
      </c>
      <c r="R61" s="13">
        <f>_xlfn.BITAND(P61,255)</f>
        <v>100</v>
      </c>
      <c r="S61" s="13" t="str">
        <f>IF(R61&lt;16,CONCATENATE("0x0",(DEC2HEX(R61))),CONCATENATE("0x",(DEC2HEX(R61))))</f>
        <v>0x64</v>
      </c>
      <c r="T61" s="5" t="str">
        <f>DEC2BIN(R61,8)</f>
        <v>01100100</v>
      </c>
    </row>
    <row r="62" spans="5:20" x14ac:dyDescent="0.25">
      <c r="E62" s="57" t="s">
        <v>63</v>
      </c>
      <c r="F62" s="57"/>
      <c r="G62" s="57"/>
      <c r="H62" s="57"/>
      <c r="I62" s="57"/>
      <c r="J62" s="57"/>
      <c r="K62" s="57"/>
      <c r="L62" s="57"/>
      <c r="M62" s="1"/>
      <c r="P62" s="1"/>
      <c r="Q62" s="2"/>
      <c r="R62" s="2"/>
      <c r="S62" s="2"/>
      <c r="T62" s="1"/>
    </row>
    <row r="63" spans="5:20" x14ac:dyDescent="0.25">
      <c r="E63" s="92" t="s">
        <v>55</v>
      </c>
      <c r="F63" s="93"/>
      <c r="G63" s="93"/>
      <c r="H63" s="57" t="s">
        <v>56</v>
      </c>
      <c r="I63" s="57"/>
      <c r="J63" s="57"/>
      <c r="K63" s="86" t="s">
        <v>10</v>
      </c>
      <c r="L63" s="88"/>
      <c r="M63" s="20" t="s">
        <v>10</v>
      </c>
      <c r="N63" s="13" t="str">
        <f>IF(((K64*2 +L64) = 3),"min",IF((K64*2+L64 = 2), "s",IF((K64*2+L64=1),"ms","us")))</f>
        <v>ms</v>
      </c>
      <c r="O63" s="2"/>
      <c r="P63" s="1"/>
      <c r="Q63" s="2" t="s">
        <v>67</v>
      </c>
      <c r="R63" s="13">
        <f>(P64*4)+((_xlfn.BITAND(P61,768)/2^8))</f>
        <v>84</v>
      </c>
      <c r="S63" s="13" t="str">
        <f>IF(R63&lt;16,CONCATENATE("0x0",(DEC2HEX(R63))),CONCATENATE("0x",(DEC2HEX(R63))))</f>
        <v>0x54</v>
      </c>
      <c r="T63" s="5" t="str">
        <f>DEC2BIN(R63,8)</f>
        <v>01010100</v>
      </c>
    </row>
    <row r="64" spans="5:20" x14ac:dyDescent="0.25">
      <c r="E64" s="102"/>
      <c r="F64" s="103"/>
      <c r="G64" s="104"/>
      <c r="H64" s="28">
        <v>1</v>
      </c>
      <c r="I64" s="28">
        <v>0</v>
      </c>
      <c r="J64" s="28">
        <v>1</v>
      </c>
      <c r="K64" s="28">
        <v>0</v>
      </c>
      <c r="L64" s="28">
        <v>1</v>
      </c>
      <c r="M64" s="20" t="s">
        <v>57</v>
      </c>
      <c r="N64" s="13">
        <f>IF(AND(H64 = 0,I64=0,J64=0), 16,IF(AND(H64 = 0,I64=0,J64=1),24,IF(AND(H64 = 0,I64=1,J64=0),32,IF(AND(H64 = 0,I64=1,J64=1),48,IF(AND(H64 = 1,I64=0,J64=0),64,IF(AND(H64 = 1,I64=0,J64=1),96,IF(AND(H64 = 1,I64=1,J64=0),128,IF(AND(H64 = 1,I64=1,J64=1),256,"false"))))))))</f>
        <v>96</v>
      </c>
      <c r="O64" s="2" t="s">
        <v>58</v>
      </c>
      <c r="P64" s="5">
        <f>BIN2DEC(CONCATENATE(H64,I64,J64,K64,L64))</f>
        <v>21</v>
      </c>
      <c r="Q64" s="2"/>
      <c r="R64" s="2"/>
      <c r="S64" s="2"/>
      <c r="T64" s="1"/>
    </row>
    <row r="65" spans="5:20" x14ac:dyDescent="0.25">
      <c r="E65" s="57" t="s">
        <v>68</v>
      </c>
      <c r="F65" s="57"/>
      <c r="G65" s="57"/>
      <c r="H65" s="57"/>
      <c r="I65" s="57"/>
      <c r="J65" s="57"/>
      <c r="K65" s="57"/>
      <c r="L65" s="57"/>
      <c r="M65" s="1"/>
      <c r="P65" s="1"/>
      <c r="Q65" s="2"/>
      <c r="R65" s="2"/>
      <c r="S65" s="2"/>
      <c r="T65" s="1"/>
    </row>
    <row r="66" spans="5:20" x14ac:dyDescent="0.25">
      <c r="E66" s="75">
        <v>3.3</v>
      </c>
      <c r="F66" s="75"/>
      <c r="G66" s="75"/>
      <c r="H66" s="75"/>
      <c r="I66" s="75"/>
      <c r="J66" s="75"/>
      <c r="K66" s="75"/>
      <c r="L66" s="75"/>
      <c r="M66" s="101" t="s">
        <v>5</v>
      </c>
      <c r="N66" s="76">
        <f>(P66*Variables!C1/Variables!C3)*Variables!C2</f>
        <v>3.2996336996337039</v>
      </c>
      <c r="O66" s="73" t="s">
        <v>5</v>
      </c>
      <c r="P66" s="76">
        <f>(IF(E66&lt;0,0,IF(E66&gt;4.8,4095,ROUND((E66/Variables!F3),0))))</f>
        <v>2815</v>
      </c>
      <c r="Q66" s="20" t="s">
        <v>69</v>
      </c>
      <c r="R66" s="13">
        <f>_xlfn.BITAND(P66,255)</f>
        <v>255</v>
      </c>
      <c r="S66" s="13" t="str">
        <f>IF(R66&lt;16,CONCATENATE("0x0",(DEC2HEX(R66))),CONCATENATE("0x",(DEC2HEX(R66))))</f>
        <v>0xFF</v>
      </c>
      <c r="T66" s="5" t="str">
        <f>DEC2BIN(R66,8)</f>
        <v>11111111</v>
      </c>
    </row>
    <row r="67" spans="5:20" x14ac:dyDescent="0.25">
      <c r="E67" s="75"/>
      <c r="F67" s="75"/>
      <c r="G67" s="75"/>
      <c r="H67" s="75"/>
      <c r="I67" s="75"/>
      <c r="J67" s="75"/>
      <c r="K67" s="75"/>
      <c r="L67" s="75"/>
      <c r="M67" s="101"/>
      <c r="N67" s="76"/>
      <c r="O67" s="73"/>
      <c r="P67" s="76"/>
      <c r="Q67" s="2"/>
      <c r="R67" s="2"/>
      <c r="S67" s="2"/>
      <c r="T67" s="1"/>
    </row>
    <row r="68" spans="5:20" x14ac:dyDescent="0.25">
      <c r="E68" s="75"/>
      <c r="F68" s="75"/>
      <c r="G68" s="75"/>
      <c r="H68" s="75"/>
      <c r="I68" s="75"/>
      <c r="J68" s="75"/>
      <c r="K68" s="75"/>
      <c r="L68" s="75"/>
      <c r="M68" s="101"/>
      <c r="N68" s="76"/>
      <c r="O68" s="73"/>
      <c r="P68" s="76"/>
      <c r="Q68" s="2" t="s">
        <v>70</v>
      </c>
      <c r="R68" s="13">
        <f>((_xlfn.BITAND(P66,3840))/(2^8))</f>
        <v>10</v>
      </c>
      <c r="S68" s="13" t="str">
        <f>IF(R68&lt;16,CONCATENATE("0x0",(DEC2HEX(R68))),CONCATENATE("0x",(DEC2HEX(R68))))</f>
        <v>0x0A</v>
      </c>
      <c r="T68" s="5" t="str">
        <f>DEC2BIN(R68,8)</f>
        <v>00001010</v>
      </c>
    </row>
    <row r="69" spans="5:20" x14ac:dyDescent="0.25">
      <c r="E69" s="57" t="s">
        <v>71</v>
      </c>
      <c r="F69" s="57"/>
      <c r="G69" s="57"/>
      <c r="H69" s="57"/>
      <c r="I69" s="57"/>
      <c r="J69" s="57"/>
      <c r="K69" s="57"/>
      <c r="L69" s="57"/>
      <c r="M69" s="1"/>
      <c r="P69" s="1"/>
      <c r="Q69" s="2"/>
      <c r="R69" s="2"/>
      <c r="S69" s="2"/>
      <c r="T69" s="1"/>
    </row>
    <row r="70" spans="5:20" x14ac:dyDescent="0.25">
      <c r="E70" s="75">
        <v>4.1500000000000004</v>
      </c>
      <c r="F70" s="75"/>
      <c r="G70" s="75"/>
      <c r="H70" s="75"/>
      <c r="I70" s="75"/>
      <c r="J70" s="75"/>
      <c r="K70" s="75"/>
      <c r="L70" s="75"/>
      <c r="M70" s="101" t="s">
        <v>5</v>
      </c>
      <c r="N70" s="76">
        <f>(P70*Variables!C1/Variables!C3)*Variables!C2</f>
        <v>4.1494505494505551</v>
      </c>
      <c r="O70" s="73" t="s">
        <v>5</v>
      </c>
      <c r="P70" s="76">
        <f>(IF(E70&lt;0,0,IF(E70&gt;4.8,4095,ROUND((E70/Variables!F3),0))))</f>
        <v>3540</v>
      </c>
      <c r="Q70" s="20" t="s">
        <v>72</v>
      </c>
      <c r="R70" s="13">
        <f>_xlfn.BITAND(P70,255)</f>
        <v>212</v>
      </c>
      <c r="S70" s="13" t="str">
        <f>IF(R70&lt;16,CONCATENATE("0x0",(DEC2HEX(R70))),CONCATENATE("0x",(DEC2HEX(R70))))</f>
        <v>0xD4</v>
      </c>
      <c r="T70" s="5" t="str">
        <f>DEC2BIN(R70,8)</f>
        <v>11010100</v>
      </c>
    </row>
    <row r="71" spans="5:20" x14ac:dyDescent="0.25">
      <c r="E71" s="75"/>
      <c r="F71" s="75"/>
      <c r="G71" s="75"/>
      <c r="H71" s="75"/>
      <c r="I71" s="75"/>
      <c r="J71" s="75"/>
      <c r="K71" s="75"/>
      <c r="L71" s="75"/>
      <c r="M71" s="101"/>
      <c r="N71" s="76"/>
      <c r="O71" s="73"/>
      <c r="P71" s="76"/>
      <c r="Q71" s="2"/>
      <c r="R71" s="2"/>
      <c r="S71" s="2"/>
      <c r="T71" s="1"/>
    </row>
    <row r="72" spans="5:20" x14ac:dyDescent="0.25">
      <c r="E72" s="75"/>
      <c r="F72" s="75"/>
      <c r="G72" s="75"/>
      <c r="H72" s="75"/>
      <c r="I72" s="75"/>
      <c r="J72" s="75"/>
      <c r="K72" s="75"/>
      <c r="L72" s="75"/>
      <c r="M72" s="101"/>
      <c r="N72" s="76"/>
      <c r="O72" s="73"/>
      <c r="P72" s="76"/>
      <c r="Q72" s="2" t="s">
        <v>73</v>
      </c>
      <c r="R72" s="13">
        <f>((_xlfn.BITAND(P70,3840))/(2^8))</f>
        <v>13</v>
      </c>
      <c r="S72" s="13" t="str">
        <f>IF(R72&lt;16,CONCATENATE("0x0",(DEC2HEX(R72))),CONCATENATE("0x",(DEC2HEX(R72))))</f>
        <v>0x0D</v>
      </c>
      <c r="T72" s="5" t="str">
        <f>DEC2BIN(R72,8)</f>
        <v>00001101</v>
      </c>
    </row>
    <row r="73" spans="5:20" x14ac:dyDescent="0.25">
      <c r="E73" s="57" t="s">
        <v>74</v>
      </c>
      <c r="F73" s="57"/>
      <c r="G73" s="57"/>
      <c r="H73" s="57"/>
      <c r="I73" s="57"/>
      <c r="J73" s="57"/>
      <c r="K73" s="57"/>
      <c r="L73" s="57"/>
      <c r="M73" s="1"/>
      <c r="P73" s="1"/>
      <c r="Q73" s="2"/>
      <c r="R73" s="2"/>
      <c r="S73" s="2"/>
      <c r="T73" s="1"/>
    </row>
    <row r="74" spans="5:20" x14ac:dyDescent="0.25">
      <c r="E74" s="75">
        <v>0.02</v>
      </c>
      <c r="F74" s="75"/>
      <c r="G74" s="75"/>
      <c r="H74" s="75"/>
      <c r="I74" s="75"/>
      <c r="J74" s="75"/>
      <c r="K74" s="75"/>
      <c r="L74" s="75"/>
      <c r="M74" s="101" t="s">
        <v>5</v>
      </c>
      <c r="N74" s="76">
        <f>(P74*Variables!C1/Variables!C3)*Variables!C2</f>
        <v>1.9926739926739951E-2</v>
      </c>
      <c r="O74" s="73" t="s">
        <v>5</v>
      </c>
      <c r="P74" s="76">
        <f>(IF(E74&lt;0,0,IF(E74&gt;4.8,4095,ROUND((E74/Variables!F3),0))))</f>
        <v>17</v>
      </c>
      <c r="Q74" s="20" t="s">
        <v>75</v>
      </c>
      <c r="R74" s="13">
        <f>_xlfn.BITAND(P74,255)</f>
        <v>17</v>
      </c>
      <c r="S74" s="13" t="str">
        <f>IF(R74&lt;16,CONCATENATE("0x0",(DEC2HEX(R74))),CONCATENATE("0x",(DEC2HEX(R74))))</f>
        <v>0x11</v>
      </c>
      <c r="T74" s="5" t="str">
        <f>DEC2BIN(R74,8)</f>
        <v>00010001</v>
      </c>
    </row>
    <row r="75" spans="5:20" x14ac:dyDescent="0.25">
      <c r="E75" s="75"/>
      <c r="F75" s="75"/>
      <c r="G75" s="75"/>
      <c r="H75" s="75"/>
      <c r="I75" s="75"/>
      <c r="J75" s="75"/>
      <c r="K75" s="75"/>
      <c r="L75" s="75"/>
      <c r="M75" s="101"/>
      <c r="N75" s="76"/>
      <c r="O75" s="73"/>
      <c r="P75" s="76"/>
      <c r="Q75" s="2"/>
      <c r="R75" s="2"/>
      <c r="S75" s="2"/>
      <c r="T75" s="1"/>
    </row>
    <row r="76" spans="5:20" x14ac:dyDescent="0.25">
      <c r="E76" s="75"/>
      <c r="F76" s="75"/>
      <c r="G76" s="75"/>
      <c r="H76" s="75"/>
      <c r="I76" s="75"/>
      <c r="J76" s="75"/>
      <c r="K76" s="75"/>
      <c r="L76" s="75"/>
      <c r="M76" s="101"/>
      <c r="N76" s="76"/>
      <c r="O76" s="73"/>
      <c r="P76" s="76"/>
      <c r="Q76" s="2" t="s">
        <v>76</v>
      </c>
      <c r="R76" s="13">
        <f>((_xlfn.BITAND(P74,3840))/(2^8))</f>
        <v>0</v>
      </c>
      <c r="S76" s="13" t="str">
        <f>IF(R76&lt;16,CONCATENATE("0x0",(DEC2HEX(R76))),CONCATENATE("0x",(DEC2HEX(R76))))</f>
        <v>0x00</v>
      </c>
      <c r="T76" s="5" t="str">
        <f>DEC2BIN(R76,8)</f>
        <v>00000000</v>
      </c>
    </row>
    <row r="77" spans="5:20" x14ac:dyDescent="0.25">
      <c r="E77" s="57" t="s">
        <v>77</v>
      </c>
      <c r="F77" s="57"/>
      <c r="G77" s="57"/>
      <c r="H77" s="57"/>
      <c r="I77" s="57"/>
      <c r="J77" s="57"/>
      <c r="K77" s="57"/>
      <c r="L77" s="57"/>
      <c r="M77" s="1"/>
      <c r="P77" s="1"/>
      <c r="Q77" s="2"/>
      <c r="R77" s="2"/>
      <c r="S77" s="2"/>
      <c r="T77" s="1"/>
    </row>
    <row r="78" spans="5:20" x14ac:dyDescent="0.25">
      <c r="E78" s="75">
        <v>5</v>
      </c>
      <c r="F78" s="75"/>
      <c r="G78" s="75"/>
      <c r="H78" s="75"/>
      <c r="I78" s="75"/>
      <c r="J78" s="75"/>
      <c r="K78" s="75"/>
      <c r="L78" s="75"/>
      <c r="M78" s="101" t="s">
        <v>5</v>
      </c>
      <c r="N78" s="76">
        <f>(P78*Variables!C1/Variables!C3)*Variables!C2</f>
        <v>4.800000000000006</v>
      </c>
      <c r="O78" s="73" t="s">
        <v>5</v>
      </c>
      <c r="P78" s="76">
        <f>(IF(E78&lt;0,0,IF(E78&gt;4.8,4095,ROUND((E78/Variables!F3),0))))</f>
        <v>4095</v>
      </c>
      <c r="Q78" s="20" t="s">
        <v>78</v>
      </c>
      <c r="R78" s="13">
        <f>_xlfn.BITAND(P78,255)</f>
        <v>255</v>
      </c>
      <c r="S78" s="13" t="str">
        <f>IF(R78&lt;16,CONCATENATE("0x0",(DEC2HEX(R78))),CONCATENATE("0x",(DEC2HEX(R78))))</f>
        <v>0xFF</v>
      </c>
      <c r="T78" s="5" t="str">
        <f>DEC2BIN(R78,8)</f>
        <v>11111111</v>
      </c>
    </row>
    <row r="79" spans="5:20" x14ac:dyDescent="0.25">
      <c r="E79" s="75"/>
      <c r="F79" s="75"/>
      <c r="G79" s="75"/>
      <c r="H79" s="75"/>
      <c r="I79" s="75"/>
      <c r="J79" s="75"/>
      <c r="K79" s="75"/>
      <c r="L79" s="75"/>
      <c r="M79" s="101"/>
      <c r="N79" s="76"/>
      <c r="O79" s="73"/>
      <c r="P79" s="76"/>
      <c r="Q79" s="2"/>
      <c r="R79" s="2"/>
      <c r="S79" s="2"/>
      <c r="T79" s="1"/>
    </row>
    <row r="80" spans="5:20" x14ac:dyDescent="0.25">
      <c r="E80" s="75"/>
      <c r="F80" s="75"/>
      <c r="G80" s="75"/>
      <c r="H80" s="75"/>
      <c r="I80" s="75"/>
      <c r="J80" s="75"/>
      <c r="K80" s="75"/>
      <c r="L80" s="75"/>
      <c r="M80" s="101"/>
      <c r="N80" s="76"/>
      <c r="O80" s="73"/>
      <c r="P80" s="76"/>
      <c r="Q80" s="2" t="s">
        <v>79</v>
      </c>
      <c r="R80" s="13">
        <f>((_xlfn.BITAND(P78,3840))/(2^8))</f>
        <v>15</v>
      </c>
      <c r="S80" s="13" t="str">
        <f>IF(R80&lt;16,CONCATENATE("0x0",(DEC2HEX(R80))),CONCATENATE("0x",(DEC2HEX(R80))))</f>
        <v>0x0F</v>
      </c>
      <c r="T80" s="5" t="str">
        <f>DEC2BIN(R80,8)</f>
        <v>00001111</v>
      </c>
    </row>
    <row r="81" spans="4:20" x14ac:dyDescent="0.25">
      <c r="E81" s="57" t="s">
        <v>80</v>
      </c>
      <c r="F81" s="57"/>
      <c r="G81" s="57"/>
      <c r="H81" s="57"/>
      <c r="I81" s="57"/>
      <c r="J81" s="57"/>
      <c r="K81" s="57"/>
      <c r="L81" s="57"/>
      <c r="M81" s="11"/>
      <c r="P81" s="11"/>
      <c r="Q81" s="24"/>
      <c r="R81" s="2"/>
      <c r="S81" s="2"/>
      <c r="T81" s="1"/>
    </row>
    <row r="82" spans="4:20" x14ac:dyDescent="0.25">
      <c r="E82" s="72">
        <v>2</v>
      </c>
      <c r="F82" s="72"/>
      <c r="G82" s="72"/>
      <c r="H82" s="72"/>
      <c r="I82" s="72"/>
      <c r="J82" s="72"/>
      <c r="K82" s="72"/>
      <c r="L82" s="72"/>
      <c r="M82" s="16"/>
      <c r="N82" s="22">
        <f>IF(E82&lt;0, "0", IF(E82 &gt; 1024, "1024",ROUND(E82,0)))</f>
        <v>2</v>
      </c>
      <c r="O82" s="22" t="str">
        <f>N85</f>
        <v>s</v>
      </c>
      <c r="P82" s="22">
        <f>N82</f>
        <v>2</v>
      </c>
      <c r="Q82" s="2"/>
      <c r="R82" s="2"/>
      <c r="S82" s="2"/>
      <c r="T82" s="1"/>
    </row>
    <row r="83" spans="4:20" x14ac:dyDescent="0.25">
      <c r="E83" s="86" t="s">
        <v>85</v>
      </c>
      <c r="F83" s="87"/>
      <c r="G83" s="87"/>
      <c r="H83" s="87"/>
      <c r="I83" s="87"/>
      <c r="J83" s="87"/>
      <c r="K83" s="87"/>
      <c r="L83" s="88"/>
      <c r="M83" s="11"/>
      <c r="P83" s="11"/>
      <c r="Q83" s="2" t="s">
        <v>83</v>
      </c>
      <c r="R83" s="13">
        <f>_xlfn.BITAND(P82,255)</f>
        <v>2</v>
      </c>
      <c r="S83" s="13" t="str">
        <f>IF(R83&lt;16,CONCATENATE("0x0",(DEC2HEX(R83))),CONCATENATE("0x",(DEC2HEX(R83))))</f>
        <v>0x02</v>
      </c>
      <c r="T83" s="5" t="str">
        <f>DEC2BIN(R83,8)</f>
        <v>00000010</v>
      </c>
    </row>
    <row r="84" spans="4:20" x14ac:dyDescent="0.25">
      <c r="E84" s="86" t="s">
        <v>81</v>
      </c>
      <c r="F84" s="87"/>
      <c r="G84" s="87"/>
      <c r="H84" s="88"/>
      <c r="I84" s="86" t="s">
        <v>181</v>
      </c>
      <c r="J84" s="87"/>
      <c r="K84" s="87"/>
      <c r="L84" s="88"/>
      <c r="M84" s="11"/>
      <c r="P84" s="11"/>
      <c r="Q84" s="2"/>
      <c r="R84" s="2"/>
      <c r="S84" s="2"/>
      <c r="T84" s="1"/>
    </row>
    <row r="85" spans="4:20" x14ac:dyDescent="0.25">
      <c r="E85" s="75">
        <v>1</v>
      </c>
      <c r="F85" s="75"/>
      <c r="G85" s="75"/>
      <c r="H85" s="75"/>
      <c r="I85" s="75">
        <v>0</v>
      </c>
      <c r="J85" s="75"/>
      <c r="K85" s="75"/>
      <c r="L85" s="75"/>
      <c r="M85" s="16"/>
      <c r="N85" s="22" t="str">
        <f>IF(((E85*2 +I85) = 3),"min",IF((E85*2+I85 = 2), "s",IF((E85*2+I85=1),"ms","us")))</f>
        <v>s</v>
      </c>
      <c r="O85" s="16"/>
      <c r="P85" s="22">
        <f>IF(N85="min",3,IF(N85="s",2,IF(N85="ms",1,0)))</f>
        <v>2</v>
      </c>
      <c r="Q85" s="16" t="s">
        <v>84</v>
      </c>
      <c r="R85" s="22">
        <f>(P85*4)+((_xlfn.BITAND(P82,768)/2^8))</f>
        <v>8</v>
      </c>
      <c r="S85" s="22" t="str">
        <f>IF(R85&lt;16,CONCATENATE("0x0",(DEC2HEX(R85))),CONCATENATE("0x",(DEC2HEX(R85))))</f>
        <v>0x08</v>
      </c>
      <c r="T85" s="5" t="str">
        <f>DEC2BIN(R85,8)</f>
        <v>00001000</v>
      </c>
    </row>
    <row r="86" spans="4:20" x14ac:dyDescent="0.25">
      <c r="E86" s="57" t="s">
        <v>86</v>
      </c>
      <c r="F86" s="57"/>
      <c r="G86" s="57"/>
      <c r="H86" s="57"/>
      <c r="I86" s="57"/>
      <c r="J86" s="57"/>
      <c r="K86" s="57"/>
      <c r="L86" s="57"/>
      <c r="M86" s="11"/>
      <c r="P86" s="11"/>
      <c r="Q86" s="24"/>
      <c r="R86" s="2"/>
      <c r="S86" s="2"/>
      <c r="T86" s="1"/>
    </row>
    <row r="87" spans="4:20" x14ac:dyDescent="0.25">
      <c r="E87" s="72">
        <v>2</v>
      </c>
      <c r="F87" s="72"/>
      <c r="G87" s="72"/>
      <c r="H87" s="72"/>
      <c r="I87" s="72"/>
      <c r="J87" s="72"/>
      <c r="K87" s="72"/>
      <c r="L87" s="72"/>
      <c r="M87" s="16"/>
      <c r="N87" s="22">
        <f>IF(E87&lt;0, "0", IF(E87 &gt; 1024, "1024",ROUND(E87,0)))</f>
        <v>2</v>
      </c>
      <c r="O87" s="16"/>
      <c r="P87" s="22">
        <f>N87</f>
        <v>2</v>
      </c>
      <c r="Q87" s="2"/>
      <c r="R87" s="2"/>
      <c r="S87" s="2"/>
      <c r="T87" s="1"/>
    </row>
    <row r="88" spans="4:20" x14ac:dyDescent="0.25">
      <c r="E88" s="86" t="s">
        <v>87</v>
      </c>
      <c r="F88" s="87"/>
      <c r="G88" s="87"/>
      <c r="H88" s="87"/>
      <c r="I88" s="87"/>
      <c r="J88" s="87"/>
      <c r="K88" s="87"/>
      <c r="L88" s="88"/>
      <c r="M88" s="11"/>
      <c r="P88" s="11"/>
      <c r="Q88" s="2" t="s">
        <v>90</v>
      </c>
      <c r="R88" s="13">
        <f>_xlfn.BITAND(P87,255)</f>
        <v>2</v>
      </c>
      <c r="S88" s="13" t="str">
        <f>IF(R88&lt;16,CONCATENATE("0x0",(DEC2HEX(R88))),CONCATENATE("0x",(DEC2HEX(R88))))</f>
        <v>0x02</v>
      </c>
      <c r="T88" s="5" t="str">
        <f>DEC2BIN(R88,8)</f>
        <v>00000010</v>
      </c>
    </row>
    <row r="89" spans="4:20" x14ac:dyDescent="0.25">
      <c r="E89" s="86" t="s">
        <v>183</v>
      </c>
      <c r="F89" s="87"/>
      <c r="G89" s="87"/>
      <c r="H89" s="88"/>
      <c r="I89" s="86" t="s">
        <v>182</v>
      </c>
      <c r="J89" s="87"/>
      <c r="K89" s="87"/>
      <c r="L89" s="88"/>
      <c r="M89" s="11"/>
      <c r="P89" s="11"/>
      <c r="Q89" s="2"/>
      <c r="R89" s="2"/>
      <c r="S89" s="2"/>
      <c r="T89" s="1"/>
    </row>
    <row r="90" spans="4:20" x14ac:dyDescent="0.25">
      <c r="E90" s="75">
        <v>1</v>
      </c>
      <c r="F90" s="75"/>
      <c r="G90" s="75"/>
      <c r="H90" s="75"/>
      <c r="I90" s="75">
        <v>0</v>
      </c>
      <c r="J90" s="75"/>
      <c r="K90" s="75"/>
      <c r="L90" s="75"/>
      <c r="M90" s="16"/>
      <c r="N90" s="22" t="str">
        <f>IF(((E90*2 +I90) = 3),"min",IF((E90*2+I90 = 2), "s",IF((E90*2+I90=1),"ms","us")))</f>
        <v>s</v>
      </c>
      <c r="O90" s="16"/>
      <c r="P90" s="22">
        <f>IF(N90="min",3,IF(N90="s",2,IF(N90="ms",1,0)))</f>
        <v>2</v>
      </c>
      <c r="Q90" s="16" t="s">
        <v>91</v>
      </c>
      <c r="R90" s="22">
        <f>(P90*4)+((_xlfn.BITAND(P87,768)/2^8))</f>
        <v>8</v>
      </c>
      <c r="S90" s="22" t="str">
        <f>IF(R90&lt;16,CONCATENATE("0x0",(DEC2HEX(R90))),CONCATENATE("0x",(DEC2HEX(R90))))</f>
        <v>0x08</v>
      </c>
      <c r="T90" s="5" t="str">
        <f>DEC2BIN(R90,8)</f>
        <v>00001000</v>
      </c>
    </row>
    <row r="91" spans="4:20" x14ac:dyDescent="0.25">
      <c r="E91" s="73" t="s">
        <v>89</v>
      </c>
      <c r="F91" s="73"/>
      <c r="G91" s="73"/>
      <c r="H91" s="73"/>
      <c r="I91" s="73"/>
      <c r="J91" s="73"/>
      <c r="K91" s="73"/>
      <c r="L91" s="73"/>
      <c r="M91" s="1"/>
      <c r="P91" s="1"/>
      <c r="Q91" s="2"/>
      <c r="R91" s="2"/>
      <c r="S91" s="2"/>
      <c r="T91" s="1"/>
    </row>
    <row r="92" spans="4:20" x14ac:dyDescent="0.25">
      <c r="E92" s="75">
        <f>0.6453*2</f>
        <v>1.2906</v>
      </c>
      <c r="F92" s="75"/>
      <c r="G92" s="75"/>
      <c r="H92" s="75"/>
      <c r="I92" s="75"/>
      <c r="J92" s="75"/>
      <c r="K92" s="75"/>
      <c r="L92" s="75"/>
      <c r="M92" s="101" t="s">
        <v>5</v>
      </c>
      <c r="N92" s="76">
        <f>(P92*Variables!C1/Variables!C3)</f>
        <v>1.2905494505494506</v>
      </c>
      <c r="O92" s="101" t="s">
        <v>5</v>
      </c>
      <c r="P92" s="76">
        <f>(IF(E92&lt;0,0,IF(E92&gt;1.8,4095,ROUND(((E92*4095)/1.8),0))))</f>
        <v>2936</v>
      </c>
      <c r="Q92" s="2" t="s">
        <v>92</v>
      </c>
      <c r="R92" s="13">
        <f>_xlfn.BITAND(P92,255)</f>
        <v>120</v>
      </c>
      <c r="S92" s="13" t="str">
        <f>IF(R92&lt;16,CONCATENATE("0x0",(DEC2HEX(R92))),CONCATENATE("0x",(DEC2HEX(R92))))</f>
        <v>0x78</v>
      </c>
      <c r="T92" s="5" t="str">
        <f>DEC2BIN(R92,8)</f>
        <v>01111000</v>
      </c>
    </row>
    <row r="93" spans="4:20" x14ac:dyDescent="0.25">
      <c r="D93" t="s">
        <v>202</v>
      </c>
      <c r="E93" s="75"/>
      <c r="F93" s="75"/>
      <c r="G93" s="75"/>
      <c r="H93" s="75"/>
      <c r="I93" s="75"/>
      <c r="J93" s="75"/>
      <c r="K93" s="75"/>
      <c r="L93" s="75"/>
      <c r="M93" s="101"/>
      <c r="N93" s="76"/>
      <c r="O93" s="101"/>
      <c r="P93" s="76"/>
      <c r="Q93" s="2"/>
      <c r="R93" s="2"/>
      <c r="S93" s="2"/>
      <c r="T93" s="2"/>
    </row>
    <row r="94" spans="4:20" x14ac:dyDescent="0.25">
      <c r="E94" s="75"/>
      <c r="F94" s="75"/>
      <c r="G94" s="75"/>
      <c r="H94" s="75"/>
      <c r="I94" s="75"/>
      <c r="J94" s="75"/>
      <c r="K94" s="75"/>
      <c r="L94" s="75"/>
      <c r="M94" s="101"/>
      <c r="N94" s="76"/>
      <c r="O94" s="101"/>
      <c r="P94" s="76"/>
      <c r="Q94" s="2" t="s">
        <v>93</v>
      </c>
      <c r="R94" s="13">
        <f>((_xlfn.BITAND(P92,3840))/(2^8))</f>
        <v>11</v>
      </c>
      <c r="S94" s="13" t="str">
        <f>IF(R94&lt;16,CONCATENATE("0x0",(DEC2HEX(R94))),CONCATENATE("0x",(DEC2HEX(R94))))</f>
        <v>0x0B</v>
      </c>
      <c r="T94" s="5" t="str">
        <f>DEC2BIN(R94,8)</f>
        <v>00001011</v>
      </c>
    </row>
    <row r="95" spans="4:20" x14ac:dyDescent="0.25">
      <c r="E95" s="73" t="s">
        <v>94</v>
      </c>
      <c r="F95" s="73"/>
      <c r="G95" s="73"/>
      <c r="H95" s="73"/>
      <c r="I95" s="73"/>
      <c r="J95" s="73"/>
      <c r="K95" s="73"/>
      <c r="L95" s="73"/>
      <c r="M95" s="1"/>
      <c r="P95" s="1"/>
      <c r="Q95" s="2"/>
      <c r="R95" s="2"/>
      <c r="S95" s="2"/>
      <c r="T95" s="1"/>
    </row>
    <row r="96" spans="4:20" x14ac:dyDescent="0.25">
      <c r="E96" s="75">
        <f>0.6275*2</f>
        <v>1.2549999999999999</v>
      </c>
      <c r="F96" s="75"/>
      <c r="G96" s="75"/>
      <c r="H96" s="75"/>
      <c r="I96" s="75"/>
      <c r="J96" s="75"/>
      <c r="K96" s="75"/>
      <c r="L96" s="75"/>
      <c r="M96" s="101" t="s">
        <v>5</v>
      </c>
      <c r="N96" s="76">
        <f>(P96*Variables!C1/Variables!C3)</f>
        <v>1.2549450549450549</v>
      </c>
      <c r="O96" s="101" t="s">
        <v>5</v>
      </c>
      <c r="P96" s="76">
        <f>(IF(E96&lt;0,0,IF(E96&gt;1.8,4095,ROUND(((E96*4095)/1.8),0))))</f>
        <v>2855</v>
      </c>
      <c r="Q96" s="2" t="s">
        <v>95</v>
      </c>
      <c r="R96" s="13">
        <f>_xlfn.BITAND(P96,255)</f>
        <v>39</v>
      </c>
      <c r="S96" s="13" t="str">
        <f>IF(R96&lt;16,CONCATENATE("0x0",(DEC2HEX(R96))),CONCATENATE("0x",(DEC2HEX(R96))))</f>
        <v>0x27</v>
      </c>
      <c r="T96" s="5" t="str">
        <f>DEC2BIN(R96,8)</f>
        <v>00100111</v>
      </c>
    </row>
    <row r="97" spans="4:20" x14ac:dyDescent="0.25">
      <c r="D97" t="s">
        <v>203</v>
      </c>
      <c r="E97" s="75"/>
      <c r="F97" s="75"/>
      <c r="G97" s="75"/>
      <c r="H97" s="75"/>
      <c r="I97" s="75"/>
      <c r="J97" s="75"/>
      <c r="K97" s="75"/>
      <c r="L97" s="75"/>
      <c r="M97" s="101"/>
      <c r="N97" s="76"/>
      <c r="O97" s="101"/>
      <c r="P97" s="76"/>
      <c r="Q97" s="2"/>
      <c r="R97" s="1"/>
      <c r="S97" s="1"/>
      <c r="T97" s="1"/>
    </row>
    <row r="98" spans="4:20" x14ac:dyDescent="0.25">
      <c r="E98" s="75"/>
      <c r="F98" s="75"/>
      <c r="G98" s="75"/>
      <c r="H98" s="75"/>
      <c r="I98" s="75"/>
      <c r="J98" s="75"/>
      <c r="K98" s="75"/>
      <c r="L98" s="75"/>
      <c r="M98" s="101"/>
      <c r="N98" s="76"/>
      <c r="O98" s="101"/>
      <c r="P98" s="76"/>
      <c r="Q98" s="2" t="s">
        <v>96</v>
      </c>
      <c r="R98" s="13">
        <f>((_xlfn.BITAND(P96,3840))/(2^8))</f>
        <v>11</v>
      </c>
      <c r="S98" s="13" t="str">
        <f>IF(R98&lt;16,CONCATENATE("0x0",(DEC2HEX(R98))),CONCATENATE("0x",(DEC2HEX(R98))))</f>
        <v>0x0B</v>
      </c>
      <c r="T98" s="5" t="str">
        <f>DEC2BIN(R98,8)</f>
        <v>00001011</v>
      </c>
    </row>
    <row r="99" spans="4:20" x14ac:dyDescent="0.25">
      <c r="E99" s="73" t="s">
        <v>100</v>
      </c>
      <c r="F99" s="73"/>
      <c r="G99" s="73"/>
      <c r="H99" s="73"/>
      <c r="I99" s="73"/>
      <c r="J99" s="73"/>
      <c r="K99" s="73"/>
      <c r="L99" s="73"/>
      <c r="M99" s="1"/>
      <c r="P99" s="1"/>
      <c r="Q99" s="2"/>
      <c r="R99" s="2"/>
      <c r="S99" s="2"/>
      <c r="T99" s="1"/>
    </row>
    <row r="100" spans="4:20" x14ac:dyDescent="0.25">
      <c r="E100" s="75">
        <f>0.3409*2</f>
        <v>0.68179999999999996</v>
      </c>
      <c r="F100" s="75"/>
      <c r="G100" s="75"/>
      <c r="H100" s="75"/>
      <c r="I100" s="75"/>
      <c r="J100" s="75"/>
      <c r="K100" s="75"/>
      <c r="L100" s="75"/>
      <c r="M100" s="101" t="s">
        <v>5</v>
      </c>
      <c r="N100" s="76">
        <f>(P100*Variables!C1/Variables!C3)</f>
        <v>0.68175824175824185</v>
      </c>
      <c r="O100" s="101" t="s">
        <v>5</v>
      </c>
      <c r="P100" s="76">
        <f>(IF(E100&lt;0,0,IF(E100&gt;1.8,4095,ROUND(((E100*4095)/1.8),0))))</f>
        <v>1551</v>
      </c>
      <c r="Q100" s="2" t="s">
        <v>97</v>
      </c>
      <c r="R100" s="13">
        <f>_xlfn.BITAND(P100,255)</f>
        <v>15</v>
      </c>
      <c r="S100" s="13" t="str">
        <f>IF(R100&lt;16,CONCATENATE("0x0",(DEC2HEX(R100))),CONCATENATE("0x",(DEC2HEX(R100))))</f>
        <v>0x0F</v>
      </c>
      <c r="T100" s="5" t="str">
        <f>DEC2BIN(R100,8)</f>
        <v>00001111</v>
      </c>
    </row>
    <row r="101" spans="4:20" x14ac:dyDescent="0.25">
      <c r="D101" t="s">
        <v>204</v>
      </c>
      <c r="E101" s="75"/>
      <c r="F101" s="75"/>
      <c r="G101" s="75"/>
      <c r="H101" s="75"/>
      <c r="I101" s="75"/>
      <c r="J101" s="75"/>
      <c r="K101" s="75"/>
      <c r="L101" s="75"/>
      <c r="M101" s="101"/>
      <c r="N101" s="76"/>
      <c r="O101" s="101"/>
      <c r="P101" s="76"/>
      <c r="Q101" s="2"/>
      <c r="R101" s="1"/>
      <c r="S101" s="1"/>
      <c r="T101" s="1"/>
    </row>
    <row r="102" spans="4:20" x14ac:dyDescent="0.25">
      <c r="E102" s="75"/>
      <c r="F102" s="75"/>
      <c r="G102" s="75"/>
      <c r="H102" s="75"/>
      <c r="I102" s="75"/>
      <c r="J102" s="75"/>
      <c r="K102" s="75"/>
      <c r="L102" s="75"/>
      <c r="M102" s="101"/>
      <c r="N102" s="76"/>
      <c r="O102" s="101"/>
      <c r="P102" s="76"/>
      <c r="Q102" s="2" t="s">
        <v>98</v>
      </c>
      <c r="R102" s="13">
        <f>((_xlfn.BITAND(P100,3840))/(2^8))</f>
        <v>6</v>
      </c>
      <c r="S102" s="13" t="str">
        <f>IF(R102&lt;16,CONCATENATE("0x0",(DEC2HEX(R102))),CONCATENATE("0x",(DEC2HEX(R102))))</f>
        <v>0x06</v>
      </c>
      <c r="T102" s="5" t="str">
        <f>DEC2BIN(R102,8)</f>
        <v>00000110</v>
      </c>
    </row>
    <row r="103" spans="4:20" x14ac:dyDescent="0.25">
      <c r="E103" s="73" t="s">
        <v>101</v>
      </c>
      <c r="F103" s="73"/>
      <c r="G103" s="73"/>
      <c r="H103" s="73"/>
      <c r="I103" s="73"/>
      <c r="J103" s="73"/>
      <c r="K103" s="73"/>
      <c r="L103" s="73"/>
      <c r="M103" s="1"/>
      <c r="P103" s="9"/>
      <c r="Q103" s="19"/>
      <c r="R103" s="19"/>
      <c r="S103" s="2"/>
      <c r="T103" s="1"/>
    </row>
    <row r="104" spans="4:20" x14ac:dyDescent="0.25">
      <c r="E104" s="75">
        <f>0.380481924339651*2</f>
        <v>0.760963848679302</v>
      </c>
      <c r="F104" s="75"/>
      <c r="G104" s="75"/>
      <c r="H104" s="75"/>
      <c r="I104" s="75"/>
      <c r="J104" s="75"/>
      <c r="K104" s="75"/>
      <c r="L104" s="75"/>
      <c r="M104" s="101" t="s">
        <v>5</v>
      </c>
      <c r="N104" s="76">
        <f>(P104*Variables!C1/Variables!C3)</f>
        <v>0.76087912087912091</v>
      </c>
      <c r="O104" s="105" t="s">
        <v>5</v>
      </c>
      <c r="P104" s="76">
        <f>(IF(E104&lt;0,0,IF(E104&gt;1.8,4095,ROUND(((E104*4095)/1.8),0))))</f>
        <v>1731</v>
      </c>
      <c r="Q104" s="2" t="s">
        <v>99</v>
      </c>
      <c r="R104" s="13">
        <f>_xlfn.BITAND(P104,255)</f>
        <v>195</v>
      </c>
      <c r="S104" s="27" t="str">
        <f>IF(R104&lt;16,CONCATENATE("0x0",(DEC2HEX(R104))),CONCATENATE("0x",(DEC2HEX(R104))))</f>
        <v>0xC3</v>
      </c>
      <c r="T104" s="5" t="str">
        <f>DEC2BIN(R104,8)</f>
        <v>11000011</v>
      </c>
    </row>
    <row r="105" spans="4:20" x14ac:dyDescent="0.25">
      <c r="D105" t="s">
        <v>205</v>
      </c>
      <c r="E105" s="75"/>
      <c r="F105" s="75"/>
      <c r="G105" s="75"/>
      <c r="H105" s="75"/>
      <c r="I105" s="75"/>
      <c r="J105" s="75"/>
      <c r="K105" s="75"/>
      <c r="L105" s="75"/>
      <c r="M105" s="101"/>
      <c r="N105" s="76"/>
      <c r="O105" s="105"/>
      <c r="P105" s="76"/>
      <c r="Q105" s="2"/>
      <c r="R105" s="1"/>
      <c r="S105" s="6"/>
      <c r="T105" s="1"/>
    </row>
    <row r="106" spans="4:20" x14ac:dyDescent="0.25">
      <c r="E106" s="75"/>
      <c r="F106" s="75"/>
      <c r="G106" s="75"/>
      <c r="H106" s="75"/>
      <c r="I106" s="75"/>
      <c r="J106" s="75"/>
      <c r="K106" s="75"/>
      <c r="L106" s="75"/>
      <c r="M106" s="101"/>
      <c r="N106" s="76"/>
      <c r="O106" s="105"/>
      <c r="P106" s="76"/>
      <c r="Q106" s="2" t="s">
        <v>105</v>
      </c>
      <c r="R106" s="13">
        <f>((_xlfn.BITAND(P104,3840))/(2^8))</f>
        <v>6</v>
      </c>
      <c r="S106" s="27" t="str">
        <f>IF(R106&lt;16,CONCATENATE("0x0",(DEC2HEX(R106))),CONCATENATE("0x",(DEC2HEX(R106))))</f>
        <v>0x06</v>
      </c>
      <c r="T106" s="5" t="str">
        <f>DEC2BIN(R106,8)</f>
        <v>00000110</v>
      </c>
    </row>
    <row r="107" spans="4:20" x14ac:dyDescent="0.25">
      <c r="E107" s="73" t="s">
        <v>106</v>
      </c>
      <c r="F107" s="73"/>
      <c r="G107" s="73"/>
      <c r="H107" s="73"/>
      <c r="I107" s="73"/>
      <c r="J107" s="73"/>
      <c r="K107" s="73"/>
      <c r="L107" s="73"/>
      <c r="M107" s="1"/>
      <c r="P107" s="9"/>
      <c r="Q107" s="19"/>
      <c r="R107" s="19"/>
      <c r="S107" s="2"/>
      <c r="T107" s="1"/>
    </row>
    <row r="108" spans="4:20" x14ac:dyDescent="0.25">
      <c r="E108" s="75">
        <f>0.2363*2</f>
        <v>0.47260000000000002</v>
      </c>
      <c r="F108" s="75"/>
      <c r="G108" s="75"/>
      <c r="H108" s="75"/>
      <c r="I108" s="75"/>
      <c r="J108" s="75"/>
      <c r="K108" s="75"/>
      <c r="L108" s="75"/>
      <c r="M108" s="101" t="s">
        <v>5</v>
      </c>
      <c r="N108" s="76">
        <f>(P108*Variables!C1/Variables!C3)</f>
        <v>0.47252747252747251</v>
      </c>
      <c r="O108" s="105" t="s">
        <v>5</v>
      </c>
      <c r="P108" s="76">
        <f>(IF(E108&lt;0,0,IF(E108&gt;1.8,4095,ROUND(((E108*4095)/1.8),0))))</f>
        <v>1075</v>
      </c>
      <c r="Q108" s="2" t="s">
        <v>103</v>
      </c>
      <c r="R108" s="13">
        <f>_xlfn.BITAND(P108,255)</f>
        <v>51</v>
      </c>
      <c r="S108" s="27" t="str">
        <f>IF(R108&lt;16,CONCATENATE("0x0",(DEC2HEX(R108))),CONCATENATE("0x",(DEC2HEX(R108))))</f>
        <v>0x33</v>
      </c>
      <c r="T108" s="5" t="str">
        <f>DEC2BIN(R108,8)</f>
        <v>00110011</v>
      </c>
    </row>
    <row r="109" spans="4:20" x14ac:dyDescent="0.25">
      <c r="D109" t="s">
        <v>206</v>
      </c>
      <c r="E109" s="75"/>
      <c r="F109" s="75"/>
      <c r="G109" s="75"/>
      <c r="H109" s="75"/>
      <c r="I109" s="75"/>
      <c r="J109" s="75"/>
      <c r="K109" s="75"/>
      <c r="L109" s="75"/>
      <c r="M109" s="101"/>
      <c r="N109" s="76"/>
      <c r="O109" s="105"/>
      <c r="P109" s="76"/>
      <c r="Q109" s="2"/>
      <c r="R109" s="1"/>
      <c r="S109" s="6"/>
      <c r="T109" s="1"/>
    </row>
    <row r="110" spans="4:20" x14ac:dyDescent="0.25">
      <c r="E110" s="75"/>
      <c r="F110" s="75"/>
      <c r="G110" s="75"/>
      <c r="H110" s="75"/>
      <c r="I110" s="75"/>
      <c r="J110" s="75"/>
      <c r="K110" s="75"/>
      <c r="L110" s="75"/>
      <c r="M110" s="101"/>
      <c r="N110" s="76"/>
      <c r="O110" s="105"/>
      <c r="P110" s="76"/>
      <c r="Q110" s="2" t="s">
        <v>104</v>
      </c>
      <c r="R110" s="13">
        <f>((_xlfn.BITAND(P108,3840))/(2^8))</f>
        <v>4</v>
      </c>
      <c r="S110" s="27" t="str">
        <f>IF(R110&lt;16,CONCATENATE("0x0",(DEC2HEX(R110))),CONCATENATE("0x",(DEC2HEX(R110))))</f>
        <v>0x04</v>
      </c>
      <c r="T110" s="5" t="str">
        <f>DEC2BIN(R110,8)</f>
        <v>00000100</v>
      </c>
    </row>
    <row r="111" spans="4:20" x14ac:dyDescent="0.25">
      <c r="E111" s="73" t="s">
        <v>102</v>
      </c>
      <c r="F111" s="73"/>
      <c r="G111" s="73"/>
      <c r="H111" s="73"/>
      <c r="I111" s="73"/>
      <c r="J111" s="73"/>
      <c r="K111" s="73"/>
      <c r="L111" s="73"/>
      <c r="M111" s="1"/>
      <c r="P111" s="9"/>
      <c r="Q111" s="19"/>
      <c r="R111" s="19"/>
      <c r="S111" s="2"/>
      <c r="T111" s="1"/>
    </row>
    <row r="112" spans="4:20" x14ac:dyDescent="0.25">
      <c r="E112" s="75">
        <f>0.2683*2</f>
        <v>0.53659999999999997</v>
      </c>
      <c r="F112" s="75"/>
      <c r="G112" s="75"/>
      <c r="H112" s="75"/>
      <c r="I112" s="75"/>
      <c r="J112" s="75"/>
      <c r="K112" s="75"/>
      <c r="L112" s="75"/>
      <c r="M112" s="101" t="s">
        <v>5</v>
      </c>
      <c r="N112" s="76">
        <f>(P112*Variables!C1/Variables!C3)</f>
        <v>0.53670329670329675</v>
      </c>
      <c r="O112" s="105" t="s">
        <v>5</v>
      </c>
      <c r="P112" s="76">
        <f>(IF(E112&lt;0,0,IF(E112&gt;1.8,4095,ROUND(((E112*4095)/1.8),0))))</f>
        <v>1221</v>
      </c>
      <c r="Q112" s="2" t="s">
        <v>107</v>
      </c>
      <c r="R112" s="13">
        <f>_xlfn.BITAND(P112,255)</f>
        <v>197</v>
      </c>
      <c r="S112" s="27" t="str">
        <f>IF(R112&lt;16,CONCATENATE("0x0",(DEC2HEX(R112))),CONCATENATE("0x",(DEC2HEX(R112))))</f>
        <v>0xC5</v>
      </c>
      <c r="T112" s="5" t="str">
        <f>DEC2BIN(R112,8)</f>
        <v>11000101</v>
      </c>
    </row>
    <row r="113" spans="4:20" x14ac:dyDescent="0.25">
      <c r="D113" t="s">
        <v>207</v>
      </c>
      <c r="E113" s="75"/>
      <c r="F113" s="75"/>
      <c r="G113" s="75"/>
      <c r="H113" s="75"/>
      <c r="I113" s="75"/>
      <c r="J113" s="75"/>
      <c r="K113" s="75"/>
      <c r="L113" s="75"/>
      <c r="M113" s="101"/>
      <c r="N113" s="76"/>
      <c r="O113" s="105"/>
      <c r="P113" s="76"/>
      <c r="Q113" s="2"/>
      <c r="R113" s="1"/>
      <c r="S113" s="6"/>
      <c r="T113" s="1"/>
    </row>
    <row r="114" spans="4:20" x14ac:dyDescent="0.25">
      <c r="E114" s="75"/>
      <c r="F114" s="75"/>
      <c r="G114" s="75"/>
      <c r="H114" s="75"/>
      <c r="I114" s="75"/>
      <c r="J114" s="75"/>
      <c r="K114" s="75"/>
      <c r="L114" s="75"/>
      <c r="M114" s="101"/>
      <c r="N114" s="76"/>
      <c r="O114" s="105"/>
      <c r="P114" s="76"/>
      <c r="Q114" s="2" t="s">
        <v>108</v>
      </c>
      <c r="R114" s="13">
        <f>((_xlfn.BITAND(P112,3840))/(2^8))</f>
        <v>4</v>
      </c>
      <c r="S114" s="27" t="str">
        <f>IF(R114&lt;16,CONCATENATE("0x0",(DEC2HEX(R114))),CONCATENATE("0x",(DEC2HEX(R114))))</f>
        <v>0x04</v>
      </c>
      <c r="T114" s="5" t="str">
        <f>DEC2BIN(R114,8)</f>
        <v>00000100</v>
      </c>
    </row>
    <row r="115" spans="4:20" x14ac:dyDescent="0.25">
      <c r="E115" s="73" t="s">
        <v>109</v>
      </c>
      <c r="F115" s="73"/>
      <c r="G115" s="73"/>
      <c r="H115" s="73"/>
      <c r="I115" s="73"/>
      <c r="J115" s="73"/>
      <c r="K115" s="73"/>
      <c r="L115" s="73"/>
      <c r="M115" s="1"/>
      <c r="P115" s="9"/>
      <c r="Q115" s="19"/>
      <c r="R115" s="19"/>
      <c r="S115" s="2"/>
      <c r="T115" s="1"/>
    </row>
    <row r="116" spans="4:20" x14ac:dyDescent="0.25">
      <c r="E116" s="75">
        <f>0.6564*2</f>
        <v>1.3128</v>
      </c>
      <c r="F116" s="75"/>
      <c r="G116" s="75"/>
      <c r="H116" s="75"/>
      <c r="I116" s="75"/>
      <c r="J116" s="75"/>
      <c r="K116" s="75"/>
      <c r="L116" s="75"/>
      <c r="M116" s="101" t="s">
        <v>5</v>
      </c>
      <c r="N116" s="76">
        <f>(P116*Variables!C1/Variables!C3)</f>
        <v>1.3129670329670331</v>
      </c>
      <c r="O116" s="105" t="s">
        <v>5</v>
      </c>
      <c r="P116" s="76">
        <f>(IF(E116&lt;0,0,IF(E116&gt;1.8,4095,ROUND(((E116*4095)/1.8),0))))</f>
        <v>2987</v>
      </c>
      <c r="Q116" s="2" t="s">
        <v>110</v>
      </c>
      <c r="R116" s="13">
        <f>_xlfn.BITAND(P116,255)</f>
        <v>171</v>
      </c>
      <c r="S116" s="27" t="str">
        <f>IF(R116&lt;16,CONCATENATE("0x0",(DEC2HEX(R116))),CONCATENATE("0x",(DEC2HEX(R116))))</f>
        <v>0xAB</v>
      </c>
      <c r="T116" s="5" t="str">
        <f>DEC2BIN(R116,8)</f>
        <v>10101011</v>
      </c>
    </row>
    <row r="117" spans="4:20" x14ac:dyDescent="0.25">
      <c r="D117" t="s">
        <v>208</v>
      </c>
      <c r="E117" s="75"/>
      <c r="F117" s="75"/>
      <c r="G117" s="75"/>
      <c r="H117" s="75"/>
      <c r="I117" s="75"/>
      <c r="J117" s="75"/>
      <c r="K117" s="75"/>
      <c r="L117" s="75"/>
      <c r="M117" s="101"/>
      <c r="N117" s="76"/>
      <c r="O117" s="105"/>
      <c r="P117" s="76"/>
      <c r="Q117" s="2"/>
      <c r="R117" s="1"/>
      <c r="S117" s="6"/>
      <c r="T117" s="1"/>
    </row>
    <row r="118" spans="4:20" x14ac:dyDescent="0.25">
      <c r="E118" s="75"/>
      <c r="F118" s="75"/>
      <c r="G118" s="75"/>
      <c r="H118" s="75"/>
      <c r="I118" s="75"/>
      <c r="J118" s="75"/>
      <c r="K118" s="75"/>
      <c r="L118" s="75"/>
      <c r="M118" s="101"/>
      <c r="N118" s="76"/>
      <c r="O118" s="105"/>
      <c r="P118" s="76"/>
      <c r="Q118" s="2" t="s">
        <v>111</v>
      </c>
      <c r="R118" s="13">
        <f>((_xlfn.BITAND(P116,3840))/(2^8))</f>
        <v>11</v>
      </c>
      <c r="S118" s="27" t="str">
        <f>IF(R118&lt;16,CONCATENATE("0x0",(DEC2HEX(R118))),CONCATENATE("0x",(DEC2HEX(R118))))</f>
        <v>0x0B</v>
      </c>
      <c r="T118" s="5" t="str">
        <f>DEC2BIN(R118,8)</f>
        <v>00001011</v>
      </c>
    </row>
    <row r="119" spans="4:20" x14ac:dyDescent="0.25">
      <c r="E119" s="73" t="s">
        <v>112</v>
      </c>
      <c r="F119" s="73"/>
      <c r="G119" s="73"/>
      <c r="H119" s="73"/>
      <c r="I119" s="73"/>
      <c r="J119" s="73"/>
      <c r="K119" s="73"/>
      <c r="L119" s="73"/>
      <c r="M119" s="1"/>
      <c r="P119" s="9"/>
      <c r="Q119" s="19"/>
      <c r="R119" s="19"/>
      <c r="S119" s="2"/>
      <c r="T119" s="1"/>
    </row>
    <row r="120" spans="4:20" x14ac:dyDescent="0.25">
      <c r="E120" s="75">
        <f>0.6453*2</f>
        <v>1.2906</v>
      </c>
      <c r="F120" s="75"/>
      <c r="G120" s="75"/>
      <c r="H120" s="75"/>
      <c r="I120" s="75"/>
      <c r="J120" s="75"/>
      <c r="K120" s="75"/>
      <c r="L120" s="75"/>
      <c r="M120" s="101" t="s">
        <v>5</v>
      </c>
      <c r="N120" s="76">
        <f>(P120*Variables!C1/Variables!C3)</f>
        <v>1.2905494505494506</v>
      </c>
      <c r="O120" s="105" t="s">
        <v>5</v>
      </c>
      <c r="P120" s="76">
        <f>(IF(E120&lt;0,0,IF(E120&gt;1.8,4095,ROUND(((E120*4095)/1.8),0))))</f>
        <v>2936</v>
      </c>
      <c r="Q120" s="2" t="s">
        <v>113</v>
      </c>
      <c r="R120" s="13">
        <f>_xlfn.BITAND(P120,255)</f>
        <v>120</v>
      </c>
      <c r="S120" s="27" t="str">
        <f>IF(R120&lt;16,CONCATENATE("0x0",(DEC2HEX(R120))),CONCATENATE("0x",(DEC2HEX(R120))))</f>
        <v>0x78</v>
      </c>
      <c r="T120" s="5" t="str">
        <f>DEC2BIN(R120,8)</f>
        <v>01111000</v>
      </c>
    </row>
    <row r="121" spans="4:20" x14ac:dyDescent="0.25">
      <c r="D121" t="s">
        <v>209</v>
      </c>
      <c r="E121" s="75"/>
      <c r="F121" s="75"/>
      <c r="G121" s="75"/>
      <c r="H121" s="75"/>
      <c r="I121" s="75"/>
      <c r="J121" s="75"/>
      <c r="K121" s="75"/>
      <c r="L121" s="75"/>
      <c r="M121" s="101"/>
      <c r="N121" s="76"/>
      <c r="O121" s="105"/>
      <c r="P121" s="76"/>
      <c r="Q121" s="2"/>
      <c r="R121" s="1"/>
      <c r="S121" s="6"/>
      <c r="T121" s="1"/>
    </row>
    <row r="122" spans="4:20" x14ac:dyDescent="0.25">
      <c r="E122" s="75"/>
      <c r="F122" s="75"/>
      <c r="G122" s="75"/>
      <c r="H122" s="75"/>
      <c r="I122" s="75"/>
      <c r="J122" s="75"/>
      <c r="K122" s="75"/>
      <c r="L122" s="75"/>
      <c r="M122" s="101"/>
      <c r="N122" s="76"/>
      <c r="O122" s="105"/>
      <c r="P122" s="76"/>
      <c r="Q122" s="2" t="s">
        <v>114</v>
      </c>
      <c r="R122" s="13">
        <f>((_xlfn.BITAND(P120,3840))/(2^8))</f>
        <v>11</v>
      </c>
      <c r="S122" s="27" t="str">
        <f>IF(R122&lt;16,CONCATENATE("0x0",(DEC2HEX(R122))),CONCATENATE("0x",(DEC2HEX(R122))))</f>
        <v>0x0B</v>
      </c>
      <c r="T122" s="5" t="str">
        <f>DEC2BIN(R122,8)</f>
        <v>00001011</v>
      </c>
    </row>
    <row r="123" spans="4:20" x14ac:dyDescent="0.25">
      <c r="E123" s="73" t="s">
        <v>115</v>
      </c>
      <c r="F123" s="73"/>
      <c r="G123" s="73"/>
      <c r="H123" s="73"/>
      <c r="I123" s="73"/>
      <c r="J123" s="73"/>
      <c r="K123" s="73"/>
      <c r="L123" s="73"/>
      <c r="M123" s="1"/>
      <c r="P123" s="9"/>
      <c r="Q123" s="19"/>
      <c r="R123" s="19"/>
      <c r="S123" s="2"/>
      <c r="T123" s="1"/>
    </row>
    <row r="124" spans="4:20" x14ac:dyDescent="0.25">
      <c r="E124" s="75">
        <f>0.2363*2</f>
        <v>0.47260000000000002</v>
      </c>
      <c r="F124" s="75"/>
      <c r="G124" s="75"/>
      <c r="H124" s="75"/>
      <c r="I124" s="75"/>
      <c r="J124" s="75"/>
      <c r="K124" s="75"/>
      <c r="L124" s="75"/>
      <c r="M124" s="101" t="s">
        <v>5</v>
      </c>
      <c r="N124" s="76">
        <f>(P124*Variables!C1/Variables!C3)</f>
        <v>0.47252747252747251</v>
      </c>
      <c r="O124" s="105" t="s">
        <v>5</v>
      </c>
      <c r="P124" s="76">
        <f>(IF(E124&lt;0,0,IF(E124&gt;1.8,4095,ROUND(((E124*4095)/1.8),0))))</f>
        <v>1075</v>
      </c>
      <c r="Q124" s="2" t="s">
        <v>116</v>
      </c>
      <c r="R124" s="13">
        <f>_xlfn.BITAND(P124,255)</f>
        <v>51</v>
      </c>
      <c r="S124" s="27" t="str">
        <f>IF(R124&lt;16,CONCATENATE("0x0",(DEC2HEX(R124))),CONCATENATE("0x",(DEC2HEX(R124))))</f>
        <v>0x33</v>
      </c>
      <c r="T124" s="5" t="str">
        <f>DEC2BIN(R124,8)</f>
        <v>00110011</v>
      </c>
    </row>
    <row r="125" spans="4:20" x14ac:dyDescent="0.25">
      <c r="D125" t="s">
        <v>206</v>
      </c>
      <c r="E125" s="75"/>
      <c r="F125" s="75"/>
      <c r="G125" s="75"/>
      <c r="H125" s="75"/>
      <c r="I125" s="75"/>
      <c r="J125" s="75"/>
      <c r="K125" s="75"/>
      <c r="L125" s="75"/>
      <c r="M125" s="101"/>
      <c r="N125" s="76"/>
      <c r="O125" s="105"/>
      <c r="P125" s="76"/>
      <c r="Q125" s="2"/>
      <c r="R125" s="1"/>
      <c r="S125" s="6"/>
      <c r="T125" s="1"/>
    </row>
    <row r="126" spans="4:20" x14ac:dyDescent="0.25">
      <c r="E126" s="75"/>
      <c r="F126" s="75"/>
      <c r="G126" s="75"/>
      <c r="H126" s="75"/>
      <c r="I126" s="75"/>
      <c r="J126" s="75"/>
      <c r="K126" s="75"/>
      <c r="L126" s="75"/>
      <c r="M126" s="101"/>
      <c r="N126" s="76"/>
      <c r="O126" s="105"/>
      <c r="P126" s="76"/>
      <c r="Q126" s="2" t="s">
        <v>117</v>
      </c>
      <c r="R126" s="13">
        <f>((_xlfn.BITAND(P124,3840))/(2^8))</f>
        <v>4</v>
      </c>
      <c r="S126" s="27" t="str">
        <f>IF(R126&lt;16,CONCATENATE("0x0",(DEC2HEX(R126))),CONCATENATE("0x",(DEC2HEX(R126))))</f>
        <v>0x04</v>
      </c>
      <c r="T126" s="5" t="str">
        <f>DEC2BIN(R126,8)</f>
        <v>00000100</v>
      </c>
    </row>
    <row r="127" spans="4:20" x14ac:dyDescent="0.25">
      <c r="E127" s="73" t="s">
        <v>118</v>
      </c>
      <c r="F127" s="73"/>
      <c r="G127" s="73"/>
      <c r="H127" s="73"/>
      <c r="I127" s="73"/>
      <c r="J127" s="73"/>
      <c r="K127" s="73"/>
      <c r="L127" s="73"/>
      <c r="M127" s="1"/>
      <c r="P127" s="9"/>
      <c r="Q127" s="19"/>
      <c r="R127" s="19"/>
      <c r="S127" s="2"/>
      <c r="T127" s="1"/>
    </row>
    <row r="128" spans="4:20" x14ac:dyDescent="0.25">
      <c r="E128" s="75">
        <f>0.2683*2</f>
        <v>0.53659999999999997</v>
      </c>
      <c r="F128" s="75"/>
      <c r="G128" s="75"/>
      <c r="H128" s="75"/>
      <c r="I128" s="75"/>
      <c r="J128" s="75"/>
      <c r="K128" s="75"/>
      <c r="L128" s="75"/>
      <c r="M128" s="101" t="s">
        <v>5</v>
      </c>
      <c r="N128" s="76">
        <f>(P128*Variables!C1/Variables!C3)</f>
        <v>0.53670329670329675</v>
      </c>
      <c r="O128" s="105" t="s">
        <v>5</v>
      </c>
      <c r="P128" s="76">
        <f>(IF(E128&lt;0,0,IF(E128&gt;1.8,4095,ROUND(((E128*4095)/1.8),0))))</f>
        <v>1221</v>
      </c>
      <c r="Q128" s="2" t="s">
        <v>119</v>
      </c>
      <c r="R128" s="13">
        <f>_xlfn.BITAND(P128,255)</f>
        <v>197</v>
      </c>
      <c r="S128" s="27" t="str">
        <f>IF(R128&lt;16,CONCATENATE("0x0",(DEC2HEX(R128))),CONCATENATE("0x",(DEC2HEX(R128))))</f>
        <v>0xC5</v>
      </c>
      <c r="T128" s="5" t="str">
        <f>DEC2BIN(R128,8)</f>
        <v>11000101</v>
      </c>
    </row>
    <row r="129" spans="4:20" x14ac:dyDescent="0.25">
      <c r="D129" t="s">
        <v>207</v>
      </c>
      <c r="E129" s="75"/>
      <c r="F129" s="75"/>
      <c r="G129" s="75"/>
      <c r="H129" s="75"/>
      <c r="I129" s="75"/>
      <c r="J129" s="75"/>
      <c r="K129" s="75"/>
      <c r="L129" s="75"/>
      <c r="M129" s="101"/>
      <c r="N129" s="76"/>
      <c r="O129" s="105"/>
      <c r="P129" s="76"/>
      <c r="Q129" s="2"/>
      <c r="R129" s="1"/>
      <c r="S129" s="6"/>
      <c r="T129" s="1"/>
    </row>
    <row r="130" spans="4:20" x14ac:dyDescent="0.25">
      <c r="E130" s="75"/>
      <c r="F130" s="75"/>
      <c r="G130" s="75"/>
      <c r="H130" s="75"/>
      <c r="I130" s="75"/>
      <c r="J130" s="75"/>
      <c r="K130" s="75"/>
      <c r="L130" s="75"/>
      <c r="M130" s="101"/>
      <c r="N130" s="76"/>
      <c r="O130" s="105"/>
      <c r="P130" s="76"/>
      <c r="Q130" s="2" t="s">
        <v>120</v>
      </c>
      <c r="R130" s="13">
        <f>((_xlfn.BITAND(P128,3840))/(2^8))</f>
        <v>4</v>
      </c>
      <c r="S130" s="27" t="str">
        <f>IF(R130&lt;16,CONCATENATE("0x0",(DEC2HEX(R130))),CONCATENATE("0x",(DEC2HEX(R130))))</f>
        <v>0x04</v>
      </c>
      <c r="T130" s="5" t="str">
        <f>DEC2BIN(R130,8)</f>
        <v>00000100</v>
      </c>
    </row>
    <row r="131" spans="4:20" x14ac:dyDescent="0.25">
      <c r="E131" s="73" t="s">
        <v>123</v>
      </c>
      <c r="F131" s="73"/>
      <c r="G131" s="73"/>
      <c r="H131" s="73"/>
      <c r="I131" s="73"/>
      <c r="J131" s="73"/>
      <c r="K131" s="73"/>
      <c r="L131" s="73"/>
      <c r="M131" s="1"/>
      <c r="P131" s="9"/>
      <c r="Q131" s="19"/>
      <c r="R131" s="19"/>
      <c r="S131" s="2"/>
      <c r="T131" s="1"/>
    </row>
    <row r="132" spans="4:20" x14ac:dyDescent="0.25">
      <c r="E132" s="75">
        <f>0.6564*2</f>
        <v>1.3128</v>
      </c>
      <c r="F132" s="75"/>
      <c r="G132" s="75"/>
      <c r="H132" s="75"/>
      <c r="I132" s="75"/>
      <c r="J132" s="75"/>
      <c r="K132" s="75"/>
      <c r="L132" s="75"/>
      <c r="M132" s="101" t="s">
        <v>5</v>
      </c>
      <c r="N132" s="76">
        <f>(P132*Variables!C1/Variables!C3)</f>
        <v>1.3129670329670331</v>
      </c>
      <c r="O132" s="105" t="s">
        <v>5</v>
      </c>
      <c r="P132" s="76">
        <f>(IF(E132&lt;0,0,IF(E132&gt;1.8,4095,ROUND(((E132*4095)/1.8),0))))</f>
        <v>2987</v>
      </c>
      <c r="Q132" s="2" t="s">
        <v>121</v>
      </c>
      <c r="R132" s="13">
        <f>_xlfn.BITAND(P132,255)</f>
        <v>171</v>
      </c>
      <c r="S132" s="27" t="str">
        <f>IF(R132&lt;16,CONCATENATE("0x0",(DEC2HEX(R132))),CONCATENATE("0x",(DEC2HEX(R132))))</f>
        <v>0xAB</v>
      </c>
      <c r="T132" s="5" t="str">
        <f>DEC2BIN(R132,8)</f>
        <v>10101011</v>
      </c>
    </row>
    <row r="133" spans="4:20" x14ac:dyDescent="0.25">
      <c r="D133" t="s">
        <v>208</v>
      </c>
      <c r="E133" s="75"/>
      <c r="F133" s="75"/>
      <c r="G133" s="75"/>
      <c r="H133" s="75"/>
      <c r="I133" s="75"/>
      <c r="J133" s="75"/>
      <c r="K133" s="75"/>
      <c r="L133" s="75"/>
      <c r="M133" s="101"/>
      <c r="N133" s="76"/>
      <c r="O133" s="105"/>
      <c r="P133" s="76"/>
      <c r="Q133" s="2"/>
      <c r="R133" s="1"/>
      <c r="S133" s="6"/>
      <c r="T133" s="1"/>
    </row>
    <row r="134" spans="4:20" x14ac:dyDescent="0.25">
      <c r="E134" s="75"/>
      <c r="F134" s="75"/>
      <c r="G134" s="75"/>
      <c r="H134" s="75"/>
      <c r="I134" s="75"/>
      <c r="J134" s="75"/>
      <c r="K134" s="75"/>
      <c r="L134" s="75"/>
      <c r="M134" s="101"/>
      <c r="N134" s="76"/>
      <c r="O134" s="105"/>
      <c r="P134" s="76"/>
      <c r="Q134" s="2" t="s">
        <v>122</v>
      </c>
      <c r="R134" s="13">
        <f>((_xlfn.BITAND(P132,3840))/(2^8))</f>
        <v>11</v>
      </c>
      <c r="S134" s="27" t="str">
        <f>IF(R134&lt;16,CONCATENATE("0x0",(DEC2HEX(R134))),CONCATENATE("0x",(DEC2HEX(R134))))</f>
        <v>0x0B</v>
      </c>
      <c r="T134" s="5" t="str">
        <f>DEC2BIN(R134,8)</f>
        <v>00001011</v>
      </c>
    </row>
    <row r="135" spans="4:20" x14ac:dyDescent="0.25">
      <c r="E135" s="73" t="s">
        <v>124</v>
      </c>
      <c r="F135" s="73"/>
      <c r="G135" s="73"/>
      <c r="H135" s="73"/>
      <c r="I135" s="73"/>
      <c r="J135" s="73"/>
      <c r="K135" s="73"/>
      <c r="L135" s="73"/>
      <c r="M135" s="1"/>
      <c r="P135" s="9"/>
      <c r="Q135" s="19"/>
      <c r="R135" s="19"/>
      <c r="S135" s="2"/>
      <c r="T135" s="1"/>
    </row>
    <row r="136" spans="4:20" x14ac:dyDescent="0.25">
      <c r="E136" s="75">
        <f>0.6453*2</f>
        <v>1.2906</v>
      </c>
      <c r="F136" s="75"/>
      <c r="G136" s="75"/>
      <c r="H136" s="75"/>
      <c r="I136" s="75"/>
      <c r="J136" s="75"/>
      <c r="K136" s="75"/>
      <c r="L136" s="75"/>
      <c r="M136" s="101" t="s">
        <v>5</v>
      </c>
      <c r="N136" s="76">
        <f>(P136*Variables!C1/Variables!C3)</f>
        <v>1.2905494505494506</v>
      </c>
      <c r="O136" s="105" t="s">
        <v>5</v>
      </c>
      <c r="P136" s="76">
        <f>(IF(E136&lt;0,0,IF(E136&gt;1.8,4095,ROUND(((E136*4095)/1.8),0))))</f>
        <v>2936</v>
      </c>
      <c r="Q136" s="2" t="s">
        <v>125</v>
      </c>
      <c r="R136" s="13">
        <f>_xlfn.BITAND(P136,255)</f>
        <v>120</v>
      </c>
      <c r="S136" s="27" t="str">
        <f>IF(R136&lt;16,CONCATENATE("0x0",(DEC2HEX(R136))),CONCATENATE("0x",(DEC2HEX(R136))))</f>
        <v>0x78</v>
      </c>
      <c r="T136" s="5" t="str">
        <f>DEC2BIN(R136,8)</f>
        <v>01111000</v>
      </c>
    </row>
    <row r="137" spans="4:20" x14ac:dyDescent="0.25">
      <c r="D137" t="s">
        <v>209</v>
      </c>
      <c r="E137" s="75"/>
      <c r="F137" s="75"/>
      <c r="G137" s="75"/>
      <c r="H137" s="75"/>
      <c r="I137" s="75"/>
      <c r="J137" s="75"/>
      <c r="K137" s="75"/>
      <c r="L137" s="75"/>
      <c r="M137" s="101"/>
      <c r="N137" s="76"/>
      <c r="O137" s="105"/>
      <c r="P137" s="76"/>
      <c r="Q137" s="2"/>
      <c r="R137" s="1"/>
      <c r="S137" s="6"/>
      <c r="T137" s="1"/>
    </row>
    <row r="138" spans="4:20" x14ac:dyDescent="0.25">
      <c r="E138" s="75"/>
      <c r="F138" s="75"/>
      <c r="G138" s="75"/>
      <c r="H138" s="75"/>
      <c r="I138" s="75"/>
      <c r="J138" s="75"/>
      <c r="K138" s="75"/>
      <c r="L138" s="75"/>
      <c r="M138" s="101"/>
      <c r="N138" s="76"/>
      <c r="O138" s="105"/>
      <c r="P138" s="76"/>
      <c r="Q138" s="2" t="s">
        <v>126</v>
      </c>
      <c r="R138" s="13">
        <f>((_xlfn.BITAND(P136,3840))/(2^8))</f>
        <v>11</v>
      </c>
      <c r="S138" s="27" t="str">
        <f>IF(R138&lt;16,CONCATENATE("0x0",(DEC2HEX(R138))),CONCATENATE("0x",(DEC2HEX(R138))))</f>
        <v>0x0B</v>
      </c>
      <c r="T138" s="5" t="str">
        <f>DEC2BIN(R138,8)</f>
        <v>00001011</v>
      </c>
    </row>
    <row r="139" spans="4:20" x14ac:dyDescent="0.25">
      <c r="E139" s="73" t="s">
        <v>127</v>
      </c>
      <c r="F139" s="73"/>
      <c r="G139" s="73"/>
      <c r="H139" s="73"/>
      <c r="I139" s="73"/>
      <c r="J139" s="73"/>
      <c r="K139" s="73"/>
      <c r="L139" s="73"/>
      <c r="M139" s="1"/>
      <c r="P139" s="9"/>
      <c r="Q139" s="19"/>
      <c r="R139" s="19"/>
      <c r="S139" s="2"/>
      <c r="T139" s="1"/>
    </row>
    <row r="140" spans="4:20" x14ac:dyDescent="0.25">
      <c r="E140" s="59">
        <v>0.71912100000000001</v>
      </c>
      <c r="F140" s="60"/>
      <c r="G140" s="60"/>
      <c r="H140" s="60"/>
      <c r="I140" s="60"/>
      <c r="J140" s="60"/>
      <c r="K140" s="60"/>
      <c r="L140" s="61"/>
      <c r="M140" s="101" t="s">
        <v>5</v>
      </c>
      <c r="N140" s="76">
        <f>(P140*Variables!C1/Variables!C3)</f>
        <v>0.71912087912087919</v>
      </c>
      <c r="O140" s="105" t="s">
        <v>5</v>
      </c>
      <c r="P140" s="76">
        <f>(IF(E140&lt;0,0,IF(E140&gt;1.8,4095,ROUND(((E140*4095)/1.8),0))))</f>
        <v>1636</v>
      </c>
      <c r="Q140" s="2" t="s">
        <v>128</v>
      </c>
      <c r="R140" s="13">
        <f>_xlfn.BITAND(P140,255)</f>
        <v>100</v>
      </c>
      <c r="S140" s="27" t="str">
        <f>IF(R140&lt;16,CONCATENATE("0x0",(DEC2HEX(R140))),CONCATENATE("0x",(DEC2HEX(R140))))</f>
        <v>0x64</v>
      </c>
      <c r="T140" s="5" t="str">
        <f>DEC2BIN(R140,8)</f>
        <v>01100100</v>
      </c>
    </row>
    <row r="141" spans="4:20" x14ac:dyDescent="0.25">
      <c r="E141" s="83"/>
      <c r="F141" s="84"/>
      <c r="G141" s="84"/>
      <c r="H141" s="84"/>
      <c r="I141" s="84"/>
      <c r="J141" s="84"/>
      <c r="K141" s="84"/>
      <c r="L141" s="85"/>
      <c r="M141" s="101"/>
      <c r="N141" s="76"/>
      <c r="O141" s="105"/>
      <c r="P141" s="76"/>
      <c r="Q141" s="2"/>
      <c r="R141" s="1"/>
      <c r="S141" s="6"/>
      <c r="T141" s="1"/>
    </row>
    <row r="142" spans="4:20" x14ac:dyDescent="0.25">
      <c r="E142" s="62"/>
      <c r="F142" s="63"/>
      <c r="G142" s="63"/>
      <c r="H142" s="63"/>
      <c r="I142" s="63"/>
      <c r="J142" s="63"/>
      <c r="K142" s="63"/>
      <c r="L142" s="64"/>
      <c r="M142" s="101"/>
      <c r="N142" s="76"/>
      <c r="O142" s="105"/>
      <c r="P142" s="76"/>
      <c r="Q142" s="2" t="s">
        <v>129</v>
      </c>
      <c r="R142" s="13">
        <f>((_xlfn.BITAND(P140,3840))/(2^8))</f>
        <v>6</v>
      </c>
      <c r="S142" s="27" t="str">
        <f>IF(R142&lt;16,CONCATENATE("0x0",(DEC2HEX(R142))),CONCATENATE("0x",(DEC2HEX(R142))))</f>
        <v>0x06</v>
      </c>
      <c r="T142" s="5" t="str">
        <f>DEC2BIN(R142,8)</f>
        <v>00000110</v>
      </c>
    </row>
    <row r="143" spans="4:20" x14ac:dyDescent="0.25">
      <c r="E143" s="73" t="s">
        <v>130</v>
      </c>
      <c r="F143" s="73"/>
      <c r="G143" s="73"/>
      <c r="H143" s="73"/>
      <c r="I143" s="73"/>
      <c r="J143" s="73"/>
      <c r="K143" s="73"/>
      <c r="L143" s="73"/>
      <c r="M143" s="1"/>
      <c r="P143" s="9"/>
      <c r="Q143" s="19"/>
      <c r="R143" s="19"/>
      <c r="S143" s="2"/>
      <c r="T143" s="1"/>
    </row>
    <row r="144" spans="4:20" x14ac:dyDescent="0.25">
      <c r="E144" s="75">
        <v>0.68219799999999997</v>
      </c>
      <c r="F144" s="75"/>
      <c r="G144" s="75"/>
      <c r="H144" s="75"/>
      <c r="I144" s="75"/>
      <c r="J144" s="75"/>
      <c r="K144" s="75"/>
      <c r="L144" s="75"/>
      <c r="M144" s="101" t="s">
        <v>5</v>
      </c>
      <c r="N144" s="76">
        <f>(P144*Variables!C1/Variables!C3)</f>
        <v>0.68219780219780213</v>
      </c>
      <c r="O144" s="105" t="s">
        <v>5</v>
      </c>
      <c r="P144" s="76">
        <f>(IF(E144&lt;0,0,IF(E144&gt;1.8,4095,ROUND(((E144*4095)/1.8),0))))</f>
        <v>1552</v>
      </c>
      <c r="Q144" s="2" t="s">
        <v>131</v>
      </c>
      <c r="R144" s="13">
        <f>_xlfn.BITAND(P144,255)</f>
        <v>16</v>
      </c>
      <c r="S144" s="27" t="str">
        <f>IF(R144&lt;16,CONCATENATE("0x0",(DEC2HEX(R144))),CONCATENATE("0x",(DEC2HEX(R144))))</f>
        <v>0x10</v>
      </c>
      <c r="T144" s="5" t="str">
        <f>DEC2BIN(R144,8)</f>
        <v>00010000</v>
      </c>
    </row>
    <row r="145" spans="2:20" x14ac:dyDescent="0.25">
      <c r="E145" s="75"/>
      <c r="F145" s="75"/>
      <c r="G145" s="75"/>
      <c r="H145" s="75"/>
      <c r="I145" s="75"/>
      <c r="J145" s="75"/>
      <c r="K145" s="75"/>
      <c r="L145" s="75"/>
      <c r="M145" s="101"/>
      <c r="N145" s="76"/>
      <c r="O145" s="105"/>
      <c r="P145" s="76"/>
      <c r="Q145" s="2"/>
      <c r="R145" s="1"/>
      <c r="S145" s="6"/>
      <c r="T145" s="1"/>
    </row>
    <row r="146" spans="2:20" x14ac:dyDescent="0.25">
      <c r="E146" s="75"/>
      <c r="F146" s="75"/>
      <c r="G146" s="75"/>
      <c r="H146" s="75"/>
      <c r="I146" s="75"/>
      <c r="J146" s="75"/>
      <c r="K146" s="75"/>
      <c r="L146" s="75"/>
      <c r="M146" s="101"/>
      <c r="N146" s="76"/>
      <c r="O146" s="105"/>
      <c r="P146" s="76"/>
      <c r="Q146" s="2" t="s">
        <v>132</v>
      </c>
      <c r="R146" s="13">
        <f>((_xlfn.BITAND(P144,3840))/(2^8))</f>
        <v>6</v>
      </c>
      <c r="S146" s="27" t="str">
        <f>IF(R146&lt;16,CONCATENATE("0x0",(DEC2HEX(R146))),CONCATENATE("0x",(DEC2HEX(R146))))</f>
        <v>0x06</v>
      </c>
      <c r="T146" s="5" t="str">
        <f>DEC2BIN(R146,8)</f>
        <v>00000110</v>
      </c>
    </row>
    <row r="147" spans="2:20" x14ac:dyDescent="0.25">
      <c r="E147" s="57" t="s">
        <v>135</v>
      </c>
      <c r="F147" s="57"/>
      <c r="G147" s="57"/>
      <c r="H147" s="57"/>
      <c r="I147" s="57"/>
      <c r="J147" s="57"/>
      <c r="K147" s="57"/>
      <c r="L147" s="57"/>
      <c r="M147" s="1"/>
      <c r="P147" s="1"/>
      <c r="Q147" s="2"/>
      <c r="R147" s="2"/>
      <c r="S147" s="2"/>
      <c r="T147" s="1"/>
    </row>
    <row r="148" spans="2:20" x14ac:dyDescent="0.25">
      <c r="E148" s="75">
        <v>2.5</v>
      </c>
      <c r="F148" s="75"/>
      <c r="G148" s="75"/>
      <c r="H148" s="75"/>
      <c r="I148" s="75"/>
      <c r="J148" s="75"/>
      <c r="K148" s="75"/>
      <c r="L148" s="75"/>
      <c r="M148" s="101" t="s">
        <v>5</v>
      </c>
      <c r="N148" s="76">
        <f>(P148*Variables!C1/Variables!C3)*Variables!C2</f>
        <v>2.5002197802197834</v>
      </c>
      <c r="O148" s="73" t="s">
        <v>5</v>
      </c>
      <c r="P148" s="76">
        <f>(IF(E148&lt;0,0,IF(E148&gt;4.8,4095,ROUND((E148/Variables!F3),0))))</f>
        <v>2133</v>
      </c>
      <c r="Q148" s="20" t="s">
        <v>133</v>
      </c>
      <c r="R148" s="13">
        <f>_xlfn.BITAND(P148,255)</f>
        <v>85</v>
      </c>
      <c r="S148" s="13" t="str">
        <f>IF(R148&lt;16,CONCATENATE("0x0",(DEC2HEX(R148))),CONCATENATE("0x",(DEC2HEX(R148))))</f>
        <v>0x55</v>
      </c>
      <c r="T148" s="5" t="str">
        <f>DEC2BIN(R148,8)</f>
        <v>01010101</v>
      </c>
    </row>
    <row r="149" spans="2:20" x14ac:dyDescent="0.25">
      <c r="E149" s="75"/>
      <c r="F149" s="75"/>
      <c r="G149" s="75"/>
      <c r="H149" s="75"/>
      <c r="I149" s="75"/>
      <c r="J149" s="75"/>
      <c r="K149" s="75"/>
      <c r="L149" s="75"/>
      <c r="M149" s="101"/>
      <c r="N149" s="76"/>
      <c r="O149" s="73"/>
      <c r="P149" s="76"/>
      <c r="Q149" s="2"/>
      <c r="R149" s="2"/>
      <c r="S149" s="2"/>
      <c r="T149" s="1"/>
    </row>
    <row r="150" spans="2:20" x14ac:dyDescent="0.25">
      <c r="E150" s="75"/>
      <c r="F150" s="75"/>
      <c r="G150" s="75"/>
      <c r="H150" s="75"/>
      <c r="I150" s="75"/>
      <c r="J150" s="75"/>
      <c r="K150" s="75"/>
      <c r="L150" s="75"/>
      <c r="M150" s="101"/>
      <c r="N150" s="76"/>
      <c r="O150" s="73"/>
      <c r="P150" s="76"/>
      <c r="Q150" s="2" t="s">
        <v>134</v>
      </c>
      <c r="R150" s="13">
        <f>((_xlfn.BITAND(P148,3840))/(2^8))</f>
        <v>8</v>
      </c>
      <c r="S150" s="13" t="str">
        <f>IF(R150&lt;16,CONCATENATE("0x0",(DEC2HEX(R150))),CONCATENATE("0x",(DEC2HEX(R150))))</f>
        <v>0x08</v>
      </c>
      <c r="T150" s="5" t="str">
        <f>DEC2BIN(R150,8)</f>
        <v>00001000</v>
      </c>
    </row>
    <row r="151" spans="2:20" x14ac:dyDescent="0.25">
      <c r="E151" s="57" t="s">
        <v>136</v>
      </c>
      <c r="F151" s="57"/>
      <c r="G151" s="57"/>
      <c r="H151" s="57"/>
      <c r="I151" s="57"/>
      <c r="J151" s="57"/>
      <c r="K151" s="57"/>
      <c r="L151" s="57"/>
      <c r="M151" s="11"/>
      <c r="P151" s="11"/>
      <c r="Q151" s="24"/>
      <c r="R151" s="2"/>
      <c r="S151" s="2"/>
      <c r="T151" s="1"/>
    </row>
    <row r="152" spans="2:20" x14ac:dyDescent="0.25">
      <c r="B152" s="39"/>
      <c r="C152" s="39"/>
      <c r="E152" s="72">
        <v>15</v>
      </c>
      <c r="F152" s="72"/>
      <c r="G152" s="72"/>
      <c r="H152" s="72"/>
      <c r="I152" s="72"/>
      <c r="J152" s="72"/>
      <c r="K152" s="72"/>
      <c r="L152" s="72"/>
      <c r="M152" s="16"/>
      <c r="N152" s="22">
        <f>IF(E152&lt;0, "0", IF(E152 &gt; 1024, "1024",ROUND(E152,0)))</f>
        <v>15</v>
      </c>
      <c r="O152" s="22" t="str">
        <f>N155</f>
        <v>s</v>
      </c>
      <c r="P152" s="22">
        <f>N152</f>
        <v>15</v>
      </c>
      <c r="Q152" s="2"/>
      <c r="R152" s="2"/>
      <c r="S152" s="2"/>
      <c r="T152" s="1"/>
    </row>
    <row r="153" spans="2:20" x14ac:dyDescent="0.25">
      <c r="E153" s="86" t="s">
        <v>137</v>
      </c>
      <c r="F153" s="87"/>
      <c r="G153" s="87"/>
      <c r="H153" s="87"/>
      <c r="I153" s="87"/>
      <c r="J153" s="87"/>
      <c r="K153" s="87"/>
      <c r="L153" s="88"/>
      <c r="M153" s="11"/>
      <c r="P153" s="11"/>
      <c r="Q153" s="2" t="s">
        <v>140</v>
      </c>
      <c r="R153" s="13">
        <f>_xlfn.BITAND(P152,255)</f>
        <v>15</v>
      </c>
      <c r="S153" s="13" t="str">
        <f>IF(R153&lt;16,CONCATENATE("0x0",(DEC2HEX(R153))),CONCATENATE("0x",(DEC2HEX(R153))))</f>
        <v>0x0F</v>
      </c>
      <c r="T153" s="5" t="str">
        <f>DEC2BIN(R153,8)</f>
        <v>00001111</v>
      </c>
    </row>
    <row r="154" spans="2:20" x14ac:dyDescent="0.25">
      <c r="E154" s="86" t="s">
        <v>138</v>
      </c>
      <c r="F154" s="87"/>
      <c r="G154" s="87"/>
      <c r="H154" s="88"/>
      <c r="I154" s="86" t="s">
        <v>139</v>
      </c>
      <c r="J154" s="87"/>
      <c r="K154" s="87"/>
      <c r="L154" s="88"/>
      <c r="M154" s="11"/>
      <c r="P154" s="11"/>
      <c r="Q154" s="2"/>
      <c r="R154" s="2"/>
      <c r="S154" s="2"/>
      <c r="T154" s="1"/>
    </row>
    <row r="155" spans="2:20" x14ac:dyDescent="0.25">
      <c r="E155" s="75">
        <v>1</v>
      </c>
      <c r="F155" s="75"/>
      <c r="G155" s="75"/>
      <c r="H155" s="75"/>
      <c r="I155" s="75">
        <v>0</v>
      </c>
      <c r="J155" s="75"/>
      <c r="K155" s="75"/>
      <c r="L155" s="75"/>
      <c r="M155" s="16"/>
      <c r="N155" s="22" t="str">
        <f>IF(((E155*2 +I155) = 3),"min",IF((E155*2+I155 = 2), "s",IF((E155*2+I155=1),"ms","us")))</f>
        <v>s</v>
      </c>
      <c r="O155" s="16"/>
      <c r="P155" s="22">
        <f>IF(N155="min",3,IF(N155="s",2,IF(N155="ms",1,0)))</f>
        <v>2</v>
      </c>
      <c r="Q155" s="16"/>
      <c r="R155" s="16"/>
      <c r="S155" s="16"/>
      <c r="T155" s="1"/>
    </row>
    <row r="156" spans="2:20" x14ac:dyDescent="0.25">
      <c r="E156" s="57" t="s">
        <v>141</v>
      </c>
      <c r="F156" s="57"/>
      <c r="G156" s="57"/>
      <c r="H156" s="57"/>
      <c r="I156" s="57"/>
      <c r="J156" s="57"/>
      <c r="K156" s="57"/>
      <c r="L156" s="57"/>
      <c r="M156" s="10"/>
      <c r="P156" s="10"/>
      <c r="Q156" s="19" t="s">
        <v>142</v>
      </c>
      <c r="R156" s="32">
        <f>(P157*8)+(P155*2)+((_xlfn.BITAND(P152,256))/(2^8))</f>
        <v>252</v>
      </c>
      <c r="S156" s="32" t="str">
        <f>IF(R156&lt;16,CONCATENATE("0x0",(DEC2HEX(R156))),CONCATENATE("0x",(DEC2HEX(R156))))</f>
        <v>0xFC</v>
      </c>
      <c r="T156" s="5" t="str">
        <f>DEC2BIN(R156,8)</f>
        <v>11111100</v>
      </c>
    </row>
    <row r="157" spans="2:20" x14ac:dyDescent="0.25">
      <c r="E157" s="29"/>
      <c r="F157" s="29"/>
      <c r="G157" s="29"/>
      <c r="H157" s="33">
        <v>1</v>
      </c>
      <c r="I157" s="30">
        <v>1</v>
      </c>
      <c r="J157" s="30">
        <v>1</v>
      </c>
      <c r="K157" s="30">
        <v>1</v>
      </c>
      <c r="L157" s="30">
        <v>1</v>
      </c>
      <c r="M157" s="2"/>
      <c r="N157" s="22">
        <f>BIN2DEC(CONCATENATE(H157,I157,J157,K157,L157))</f>
        <v>31</v>
      </c>
      <c r="O157" s="16" t="s">
        <v>143</v>
      </c>
      <c r="P157" s="22">
        <f>N157</f>
        <v>31</v>
      </c>
      <c r="Q157" s="16"/>
      <c r="R157" s="31"/>
      <c r="S157" s="16"/>
      <c r="T157" s="16"/>
    </row>
    <row r="158" spans="2:20" x14ac:dyDescent="0.25">
      <c r="E158" s="86" t="s">
        <v>184</v>
      </c>
      <c r="F158" s="87"/>
      <c r="G158" s="87"/>
      <c r="H158" s="87"/>
      <c r="I158" s="87"/>
      <c r="J158" s="87"/>
      <c r="K158" s="87"/>
      <c r="L158" s="88"/>
      <c r="M158" s="10"/>
      <c r="P158" s="10"/>
      <c r="Q158" s="25"/>
      <c r="R158" s="19"/>
      <c r="S158" s="19"/>
      <c r="T158" s="9"/>
    </row>
    <row r="159" spans="2:20" x14ac:dyDescent="0.25">
      <c r="E159" s="54">
        <v>0</v>
      </c>
      <c r="F159" s="56"/>
      <c r="G159" s="54">
        <v>0</v>
      </c>
      <c r="H159" s="56"/>
      <c r="I159" s="54">
        <v>0</v>
      </c>
      <c r="J159" s="56"/>
      <c r="K159" s="54">
        <v>0</v>
      </c>
      <c r="L159" s="56"/>
      <c r="M159" s="2"/>
      <c r="N159" s="34">
        <f>BIN2DEC(CONCATENATE(E159,G159,I159,K159))</f>
        <v>0</v>
      </c>
      <c r="O159" s="2" t="s">
        <v>145</v>
      </c>
      <c r="P159" s="13">
        <f>N159</f>
        <v>0</v>
      </c>
      <c r="Q159" s="2"/>
      <c r="R159" s="2"/>
      <c r="S159" s="2"/>
      <c r="T159" s="2"/>
    </row>
    <row r="160" spans="2:20" x14ac:dyDescent="0.25">
      <c r="E160" s="86" t="s">
        <v>144</v>
      </c>
      <c r="F160" s="87"/>
      <c r="G160" s="87"/>
      <c r="H160" s="87"/>
      <c r="I160" s="87"/>
      <c r="J160" s="87"/>
      <c r="K160" s="87"/>
      <c r="L160" s="88"/>
      <c r="M160" s="10"/>
      <c r="P160" s="10"/>
      <c r="Q160" s="25" t="s">
        <v>146</v>
      </c>
      <c r="R160" s="32">
        <f>(P161*16)+(P159)</f>
        <v>16</v>
      </c>
      <c r="S160" s="32" t="str">
        <f>IF(R160&lt;16,CONCATENATE("0x0",(DEC2HEX(R160))),CONCATENATE("0x",(DEC2HEX(R160))))</f>
        <v>0x10</v>
      </c>
      <c r="T160" s="5" t="str">
        <f>DEC2BIN(R160,8)</f>
        <v>00010000</v>
      </c>
    </row>
    <row r="161" spans="2:20" x14ac:dyDescent="0.25">
      <c r="E161" s="54">
        <v>0</v>
      </c>
      <c r="F161" s="56"/>
      <c r="G161" s="54">
        <v>0</v>
      </c>
      <c r="H161" s="56"/>
      <c r="I161" s="54">
        <v>0</v>
      </c>
      <c r="J161" s="56"/>
      <c r="K161" s="54">
        <v>1</v>
      </c>
      <c r="L161" s="56"/>
      <c r="M161" s="2"/>
      <c r="N161" s="34">
        <f>16*(BIN2DEC(CONCATENATE(E161,G161,I161,K161)))</f>
        <v>16</v>
      </c>
      <c r="O161" s="2" t="s">
        <v>145</v>
      </c>
      <c r="P161" s="34">
        <f>BIN2DEC(CONCATENATE(E161,G161,I161,K161))</f>
        <v>1</v>
      </c>
      <c r="Q161" s="2"/>
      <c r="R161" s="2"/>
      <c r="S161" s="2"/>
      <c r="T161" s="2"/>
    </row>
    <row r="162" spans="2:20" x14ac:dyDescent="0.25">
      <c r="E162" s="57" t="s">
        <v>147</v>
      </c>
      <c r="F162" s="57"/>
      <c r="G162" s="57"/>
      <c r="H162" s="57"/>
      <c r="I162" s="57"/>
      <c r="J162" s="57"/>
      <c r="K162" s="57"/>
      <c r="L162" s="57"/>
      <c r="M162" s="1"/>
      <c r="P162" s="10"/>
      <c r="Q162" s="25"/>
      <c r="R162" s="19"/>
      <c r="S162" s="2"/>
      <c r="T162" s="1"/>
    </row>
    <row r="163" spans="2:20" x14ac:dyDescent="0.25">
      <c r="E163" s="72" t="s">
        <v>152</v>
      </c>
      <c r="F163" s="72"/>
      <c r="G163" s="72"/>
      <c r="H163" s="72"/>
      <c r="I163" s="72"/>
      <c r="J163" s="72"/>
      <c r="K163" s="72"/>
      <c r="L163" s="72"/>
      <c r="M163" s="16"/>
      <c r="N163" s="16"/>
      <c r="O163" s="16"/>
      <c r="P163" s="22" t="str">
        <f>IF(E163="3 Cells","131",IF(E163="4 Cells","195",IF(E163="5 Cells","199",IF(E163="6 Cells","231",IF(E163="7 Cells","239",IF(E163="8 Cells","255"))))))</f>
        <v>239</v>
      </c>
      <c r="Q163" s="16" t="s">
        <v>154</v>
      </c>
      <c r="R163" s="22" t="str">
        <f>P163</f>
        <v>239</v>
      </c>
      <c r="S163" s="13" t="str">
        <f>IF(R163&lt;16,CONCATENATE("0x0",(DEC2HEX(R163))),CONCATENATE("0x",(DEC2HEX(R163))))</f>
        <v>0xEF</v>
      </c>
      <c r="T163" s="5" t="str">
        <f>DEC2BIN(R163,8)</f>
        <v>11101111</v>
      </c>
    </row>
    <row r="164" spans="2:20" x14ac:dyDescent="0.25">
      <c r="E164" s="2" t="s">
        <v>155</v>
      </c>
      <c r="F164" s="2" t="s">
        <v>156</v>
      </c>
      <c r="G164" s="2" t="s">
        <v>157</v>
      </c>
      <c r="H164" s="2" t="s">
        <v>158</v>
      </c>
      <c r="I164" s="2" t="s">
        <v>159</v>
      </c>
      <c r="J164" s="2" t="s">
        <v>160</v>
      </c>
      <c r="K164" s="2" t="s">
        <v>161</v>
      </c>
      <c r="L164" s="2" t="s">
        <v>162</v>
      </c>
      <c r="M164" s="1"/>
      <c r="P164" s="1"/>
      <c r="Q164" s="2"/>
      <c r="R164" s="2"/>
      <c r="S164" s="2"/>
      <c r="T164" s="1"/>
    </row>
    <row r="165" spans="2:20" x14ac:dyDescent="0.25">
      <c r="E165" s="13" t="s">
        <v>163</v>
      </c>
      <c r="F165" s="13" t="str">
        <f>IF(E163 = "3 Cells", "Disabled", "Enabled")</f>
        <v>Enabled</v>
      </c>
      <c r="G165" s="13" t="str">
        <f>IF(OR(E163 = "3 Cells",  E163 = "4 Cells", E163="5 Cells"), "Disabled", "Enabled")</f>
        <v>Enabled</v>
      </c>
      <c r="H165" s="13" t="str">
        <f>IF(OR(E163 = "3 Cells",  E163 = "4 Cells", E163="5 Cells", E163 = "6 Cells", E163 = "7 Cells"), "Disabled", "Enabled")</f>
        <v>Disabled</v>
      </c>
      <c r="I165" s="13" t="str">
        <f>IF(OR(E163 = "3 Cells",  E163 = "4 Cells", E163="5 Cells", E163 = "6 Cells"), "Disabled", "Enabled")</f>
        <v>Enabled</v>
      </c>
      <c r="J165" s="13" t="str">
        <f>IF(OR(E163 = "3 Cells",  E163 = "4 Cells"), "Disabled", "Enabled")</f>
        <v>Enabled</v>
      </c>
      <c r="K165" s="13" t="s">
        <v>163</v>
      </c>
      <c r="L165" s="13" t="s">
        <v>163</v>
      </c>
      <c r="M165" s="9"/>
      <c r="P165" s="1"/>
      <c r="Q165" s="2"/>
      <c r="R165" s="2"/>
      <c r="S165" s="2"/>
      <c r="T165" s="1"/>
    </row>
    <row r="166" spans="2:20" x14ac:dyDescent="0.25">
      <c r="E166" s="86" t="s">
        <v>171</v>
      </c>
      <c r="F166" s="87"/>
      <c r="G166" s="87"/>
      <c r="H166" s="87"/>
      <c r="I166" s="87"/>
      <c r="J166" s="87"/>
      <c r="K166" s="87"/>
      <c r="L166" s="88"/>
      <c r="M166" s="9"/>
      <c r="P166" s="1"/>
      <c r="Q166" s="2"/>
      <c r="R166" s="2"/>
      <c r="S166" s="2"/>
      <c r="T166" s="1"/>
    </row>
    <row r="167" spans="2:20" x14ac:dyDescent="0.25">
      <c r="E167" s="65" t="s">
        <v>164</v>
      </c>
      <c r="F167" s="65" t="s">
        <v>55</v>
      </c>
      <c r="G167" s="65" t="s">
        <v>165</v>
      </c>
      <c r="H167" s="65" t="s">
        <v>166</v>
      </c>
      <c r="I167" s="65" t="s">
        <v>55</v>
      </c>
      <c r="J167" s="65" t="s">
        <v>167</v>
      </c>
      <c r="K167" s="65" t="s">
        <v>168</v>
      </c>
      <c r="L167" s="106" t="s">
        <v>169</v>
      </c>
      <c r="M167" s="73"/>
      <c r="N167" s="35"/>
      <c r="O167" s="35"/>
      <c r="P167" s="73"/>
      <c r="Q167" s="73"/>
      <c r="R167" s="73"/>
      <c r="S167" s="73"/>
      <c r="T167" s="73"/>
    </row>
    <row r="168" spans="2:20" x14ac:dyDescent="0.25">
      <c r="E168" s="66"/>
      <c r="F168" s="66"/>
      <c r="G168" s="66"/>
      <c r="H168" s="66"/>
      <c r="I168" s="66"/>
      <c r="J168" s="66"/>
      <c r="K168" s="66"/>
      <c r="L168" s="107"/>
      <c r="M168" s="65"/>
      <c r="N168" s="35"/>
      <c r="O168" s="35"/>
      <c r="P168" s="65"/>
      <c r="Q168" s="65"/>
      <c r="R168" s="65"/>
      <c r="S168" s="65"/>
      <c r="T168" s="65"/>
    </row>
    <row r="169" spans="2:20" x14ac:dyDescent="0.25">
      <c r="B169" s="38"/>
      <c r="C169" s="38"/>
      <c r="E169" s="12">
        <v>0</v>
      </c>
      <c r="F169" s="36"/>
      <c r="G169" s="12">
        <v>1</v>
      </c>
      <c r="H169" s="12">
        <v>0</v>
      </c>
      <c r="I169" s="36"/>
      <c r="J169" s="12">
        <v>0</v>
      </c>
      <c r="K169" s="12">
        <v>0</v>
      </c>
      <c r="L169" s="12">
        <v>0</v>
      </c>
      <c r="M169" s="2"/>
      <c r="N169" s="13" t="str">
        <f>CONCATENATE(E169,"0",G169,H169,"0",J169,K169,L169)</f>
        <v>00100000</v>
      </c>
      <c r="O169" s="2"/>
      <c r="P169" s="13">
        <f>BIN2DEC(N169)</f>
        <v>32</v>
      </c>
      <c r="Q169" s="2" t="s">
        <v>170</v>
      </c>
      <c r="R169" s="13">
        <f>P169</f>
        <v>32</v>
      </c>
      <c r="S169" s="13" t="str">
        <f>IF(R169&lt;16,CONCATENATE("0x0",(DEC2HEX(R169))),CONCATENATE("0x",(DEC2HEX(R169))))</f>
        <v>0x20</v>
      </c>
      <c r="T169" s="5" t="str">
        <f>DEC2BIN(R169,8)</f>
        <v>00100000</v>
      </c>
    </row>
    <row r="170" spans="2:20" x14ac:dyDescent="0.25">
      <c r="E170" s="86" t="s">
        <v>200</v>
      </c>
      <c r="F170" s="87"/>
      <c r="G170" s="87"/>
      <c r="H170" s="87"/>
      <c r="I170" s="87"/>
      <c r="J170" s="87"/>
      <c r="K170" s="87"/>
      <c r="L170" s="88"/>
      <c r="M170" s="2"/>
      <c r="N170" s="3"/>
      <c r="O170" s="3"/>
      <c r="P170" s="13"/>
      <c r="Q170" s="2"/>
      <c r="R170" s="13"/>
      <c r="S170" s="13"/>
      <c r="T170" s="5"/>
    </row>
    <row r="171" spans="2:20" x14ac:dyDescent="0.25">
      <c r="E171" s="65" t="s">
        <v>173</v>
      </c>
      <c r="F171" s="65" t="s">
        <v>174</v>
      </c>
      <c r="G171" s="65" t="s">
        <v>175</v>
      </c>
      <c r="H171" s="65" t="s">
        <v>176</v>
      </c>
      <c r="I171" s="65" t="s">
        <v>177</v>
      </c>
      <c r="J171" s="65" t="s">
        <v>55</v>
      </c>
      <c r="K171" s="65" t="s">
        <v>55</v>
      </c>
      <c r="L171" s="106" t="s">
        <v>178</v>
      </c>
      <c r="M171" s="73"/>
      <c r="N171" s="35"/>
      <c r="O171" s="35"/>
      <c r="P171" s="73"/>
      <c r="Q171" s="73"/>
      <c r="R171" s="73"/>
      <c r="S171" s="73"/>
      <c r="T171" s="73"/>
    </row>
    <row r="172" spans="2:20" x14ac:dyDescent="0.25">
      <c r="E172" s="66"/>
      <c r="F172" s="66"/>
      <c r="G172" s="66"/>
      <c r="H172" s="66"/>
      <c r="I172" s="66"/>
      <c r="J172" s="66"/>
      <c r="K172" s="66"/>
      <c r="L172" s="107"/>
      <c r="M172" s="65"/>
      <c r="N172" s="35"/>
      <c r="O172" s="35"/>
      <c r="P172" s="65"/>
      <c r="Q172" s="65"/>
      <c r="R172" s="65"/>
      <c r="S172" s="65"/>
      <c r="T172" s="65"/>
    </row>
    <row r="173" spans="2:20" x14ac:dyDescent="0.25">
      <c r="B173" s="38"/>
      <c r="C173" s="38"/>
      <c r="E173" s="12">
        <v>1</v>
      </c>
      <c r="F173" s="12">
        <v>1</v>
      </c>
      <c r="G173" s="12">
        <v>1</v>
      </c>
      <c r="H173" s="12">
        <v>1</v>
      </c>
      <c r="I173" s="12">
        <v>0</v>
      </c>
      <c r="J173" s="36">
        <v>0</v>
      </c>
      <c r="K173" s="36">
        <v>0</v>
      </c>
      <c r="L173" s="12">
        <v>1</v>
      </c>
      <c r="M173" s="2"/>
      <c r="N173" s="34" t="str">
        <f>CONCATENATE(E173,F173,G173,H173,I173,"0","0",L173)</f>
        <v>11110001</v>
      </c>
      <c r="O173" s="2"/>
      <c r="P173" s="13">
        <f>BIN2DEC(N173)</f>
        <v>241</v>
      </c>
      <c r="Q173" s="2" t="s">
        <v>172</v>
      </c>
      <c r="R173" s="13">
        <f>P173</f>
        <v>241</v>
      </c>
      <c r="S173" s="13" t="str">
        <f>IF(R173&lt;16,CONCATENATE("0x0",(DEC2HEX(R173))),CONCATENATE("0x",(DEC2HEX(R173))))</f>
        <v>0xF1</v>
      </c>
      <c r="T173" s="5" t="str">
        <f>DEC2BIN(R173,8)</f>
        <v>11110001</v>
      </c>
    </row>
  </sheetData>
  <mergeCells count="272">
    <mergeCell ref="A8:C9"/>
    <mergeCell ref="E8:L8"/>
    <mergeCell ref="E9:L9"/>
    <mergeCell ref="A10:C10"/>
    <mergeCell ref="E10:L11"/>
    <mergeCell ref="M10:M11"/>
    <mergeCell ref="S3:S4"/>
    <mergeCell ref="T3:T4"/>
    <mergeCell ref="E5:L5"/>
    <mergeCell ref="A6:C6"/>
    <mergeCell ref="E6:L6"/>
    <mergeCell ref="E7:L7"/>
    <mergeCell ref="E3:L4"/>
    <mergeCell ref="M3:M4"/>
    <mergeCell ref="N3:O4"/>
    <mergeCell ref="P3:P4"/>
    <mergeCell ref="Q3:Q4"/>
    <mergeCell ref="R3:R4"/>
    <mergeCell ref="E15:L15"/>
    <mergeCell ref="E16:L16"/>
    <mergeCell ref="E17:L19"/>
    <mergeCell ref="M17:M19"/>
    <mergeCell ref="N17:N19"/>
    <mergeCell ref="O17:O19"/>
    <mergeCell ref="N10:N11"/>
    <mergeCell ref="O10:O11"/>
    <mergeCell ref="P10:P11"/>
    <mergeCell ref="E12:L12"/>
    <mergeCell ref="E13:L13"/>
    <mergeCell ref="E14:L14"/>
    <mergeCell ref="E24:L24"/>
    <mergeCell ref="E25:L27"/>
    <mergeCell ref="M25:M27"/>
    <mergeCell ref="N25:N27"/>
    <mergeCell ref="O25:O27"/>
    <mergeCell ref="P25:P27"/>
    <mergeCell ref="P17:P19"/>
    <mergeCell ref="E20:L20"/>
    <mergeCell ref="E21:L23"/>
    <mergeCell ref="M21:M23"/>
    <mergeCell ref="N21:N23"/>
    <mergeCell ref="O21:O23"/>
    <mergeCell ref="P21:P23"/>
    <mergeCell ref="E32:L32"/>
    <mergeCell ref="E33:L35"/>
    <mergeCell ref="M33:M35"/>
    <mergeCell ref="N33:N35"/>
    <mergeCell ref="O33:O35"/>
    <mergeCell ref="P33:P35"/>
    <mergeCell ref="E28:L28"/>
    <mergeCell ref="E29:L31"/>
    <mergeCell ref="M29:M31"/>
    <mergeCell ref="N29:N31"/>
    <mergeCell ref="O29:O31"/>
    <mergeCell ref="P29:P31"/>
    <mergeCell ref="E41:L41"/>
    <mergeCell ref="E42:L42"/>
    <mergeCell ref="E43:L43"/>
    <mergeCell ref="E44:H44"/>
    <mergeCell ref="I44:L44"/>
    <mergeCell ref="E45:H45"/>
    <mergeCell ref="I45:L45"/>
    <mergeCell ref="E36:L36"/>
    <mergeCell ref="E37:L37"/>
    <mergeCell ref="E38:L38"/>
    <mergeCell ref="E39:H39"/>
    <mergeCell ref="I39:L39"/>
    <mergeCell ref="E40:H40"/>
    <mergeCell ref="I40:L40"/>
    <mergeCell ref="E52:L52"/>
    <mergeCell ref="E53:G53"/>
    <mergeCell ref="H53:J53"/>
    <mergeCell ref="K53:L53"/>
    <mergeCell ref="E54:G54"/>
    <mergeCell ref="E55:L55"/>
    <mergeCell ref="E46:L46"/>
    <mergeCell ref="E47:L47"/>
    <mergeCell ref="E48:L48"/>
    <mergeCell ref="E49:L49"/>
    <mergeCell ref="E50:L50"/>
    <mergeCell ref="E51:L51"/>
    <mergeCell ref="E60:L60"/>
    <mergeCell ref="E61:L61"/>
    <mergeCell ref="E62:L62"/>
    <mergeCell ref="E63:G63"/>
    <mergeCell ref="H63:J63"/>
    <mergeCell ref="K63:L63"/>
    <mergeCell ref="E56:L56"/>
    <mergeCell ref="E57:L57"/>
    <mergeCell ref="E58:G58"/>
    <mergeCell ref="H58:J58"/>
    <mergeCell ref="K58:L58"/>
    <mergeCell ref="E59:G59"/>
    <mergeCell ref="P66:P68"/>
    <mergeCell ref="E69:L69"/>
    <mergeCell ref="E70:L72"/>
    <mergeCell ref="M70:M72"/>
    <mergeCell ref="N70:N72"/>
    <mergeCell ref="O70:O72"/>
    <mergeCell ref="P70:P72"/>
    <mergeCell ref="E64:G64"/>
    <mergeCell ref="E65:L65"/>
    <mergeCell ref="E66:L68"/>
    <mergeCell ref="M66:M68"/>
    <mergeCell ref="N66:N68"/>
    <mergeCell ref="O66:O68"/>
    <mergeCell ref="M78:M80"/>
    <mergeCell ref="N78:N80"/>
    <mergeCell ref="O78:O80"/>
    <mergeCell ref="P78:P80"/>
    <mergeCell ref="E73:L73"/>
    <mergeCell ref="E74:L76"/>
    <mergeCell ref="M74:M76"/>
    <mergeCell ref="N74:N76"/>
    <mergeCell ref="O74:O76"/>
    <mergeCell ref="P74:P76"/>
    <mergeCell ref="E81:L81"/>
    <mergeCell ref="E82:L82"/>
    <mergeCell ref="E83:L83"/>
    <mergeCell ref="E84:H84"/>
    <mergeCell ref="I84:L84"/>
    <mergeCell ref="E85:H85"/>
    <mergeCell ref="I85:L85"/>
    <mergeCell ref="E77:L77"/>
    <mergeCell ref="E78:L80"/>
    <mergeCell ref="E91:L91"/>
    <mergeCell ref="E92:L94"/>
    <mergeCell ref="M92:M94"/>
    <mergeCell ref="N92:N94"/>
    <mergeCell ref="O92:O94"/>
    <mergeCell ref="P92:P94"/>
    <mergeCell ref="E86:L86"/>
    <mergeCell ref="E87:L87"/>
    <mergeCell ref="E88:L88"/>
    <mergeCell ref="E89:H89"/>
    <mergeCell ref="I89:L89"/>
    <mergeCell ref="E90:H90"/>
    <mergeCell ref="I90:L90"/>
    <mergeCell ref="E99:L99"/>
    <mergeCell ref="E100:L102"/>
    <mergeCell ref="M100:M102"/>
    <mergeCell ref="N100:N102"/>
    <mergeCell ref="O100:O102"/>
    <mergeCell ref="P100:P102"/>
    <mergeCell ref="E95:L95"/>
    <mergeCell ref="E96:L98"/>
    <mergeCell ref="M96:M98"/>
    <mergeCell ref="N96:N98"/>
    <mergeCell ref="O96:O98"/>
    <mergeCell ref="P96:P98"/>
    <mergeCell ref="E107:L107"/>
    <mergeCell ref="E108:L110"/>
    <mergeCell ref="M108:M110"/>
    <mergeCell ref="N108:N110"/>
    <mergeCell ref="O108:O110"/>
    <mergeCell ref="P108:P110"/>
    <mergeCell ref="E103:L103"/>
    <mergeCell ref="E104:L106"/>
    <mergeCell ref="M104:M106"/>
    <mergeCell ref="N104:N106"/>
    <mergeCell ref="O104:O106"/>
    <mergeCell ref="P104:P106"/>
    <mergeCell ref="E115:L115"/>
    <mergeCell ref="E116:L118"/>
    <mergeCell ref="M116:M118"/>
    <mergeCell ref="N116:N118"/>
    <mergeCell ref="O116:O118"/>
    <mergeCell ref="P116:P118"/>
    <mergeCell ref="E111:L111"/>
    <mergeCell ref="E112:L114"/>
    <mergeCell ref="M112:M114"/>
    <mergeCell ref="N112:N114"/>
    <mergeCell ref="O112:O114"/>
    <mergeCell ref="P112:P114"/>
    <mergeCell ref="E123:L123"/>
    <mergeCell ref="E124:L126"/>
    <mergeCell ref="M124:M126"/>
    <mergeCell ref="N124:N126"/>
    <mergeCell ref="O124:O126"/>
    <mergeCell ref="P124:P126"/>
    <mergeCell ref="E119:L119"/>
    <mergeCell ref="E120:L122"/>
    <mergeCell ref="M120:M122"/>
    <mergeCell ref="N120:N122"/>
    <mergeCell ref="O120:O122"/>
    <mergeCell ref="P120:P122"/>
    <mergeCell ref="E131:L131"/>
    <mergeCell ref="E132:L134"/>
    <mergeCell ref="M132:M134"/>
    <mergeCell ref="N132:N134"/>
    <mergeCell ref="O132:O134"/>
    <mergeCell ref="P132:P134"/>
    <mergeCell ref="E127:L127"/>
    <mergeCell ref="E128:L130"/>
    <mergeCell ref="M128:M130"/>
    <mergeCell ref="N128:N130"/>
    <mergeCell ref="O128:O130"/>
    <mergeCell ref="P128:P130"/>
    <mergeCell ref="E139:L139"/>
    <mergeCell ref="E140:L142"/>
    <mergeCell ref="M140:M142"/>
    <mergeCell ref="N140:N142"/>
    <mergeCell ref="O140:O142"/>
    <mergeCell ref="P140:P142"/>
    <mergeCell ref="E135:L135"/>
    <mergeCell ref="E136:L138"/>
    <mergeCell ref="M136:M138"/>
    <mergeCell ref="N136:N138"/>
    <mergeCell ref="O136:O138"/>
    <mergeCell ref="P136:P138"/>
    <mergeCell ref="M148:M150"/>
    <mergeCell ref="N148:N150"/>
    <mergeCell ref="O148:O150"/>
    <mergeCell ref="P148:P150"/>
    <mergeCell ref="E143:L143"/>
    <mergeCell ref="E144:L146"/>
    <mergeCell ref="M144:M146"/>
    <mergeCell ref="N144:N146"/>
    <mergeCell ref="O144:O146"/>
    <mergeCell ref="P144:P146"/>
    <mergeCell ref="E151:L151"/>
    <mergeCell ref="E152:L152"/>
    <mergeCell ref="E153:L153"/>
    <mergeCell ref="E154:H154"/>
    <mergeCell ref="I154:L154"/>
    <mergeCell ref="E155:H155"/>
    <mergeCell ref="I155:L155"/>
    <mergeCell ref="E147:L147"/>
    <mergeCell ref="E148:L150"/>
    <mergeCell ref="E160:L160"/>
    <mergeCell ref="E161:F161"/>
    <mergeCell ref="G161:H161"/>
    <mergeCell ref="I161:J161"/>
    <mergeCell ref="K161:L161"/>
    <mergeCell ref="E162:L162"/>
    <mergeCell ref="E156:L156"/>
    <mergeCell ref="E158:L158"/>
    <mergeCell ref="E159:F159"/>
    <mergeCell ref="G159:H159"/>
    <mergeCell ref="I159:J159"/>
    <mergeCell ref="K159:L159"/>
    <mergeCell ref="M167:M168"/>
    <mergeCell ref="P167:P168"/>
    <mergeCell ref="Q167:Q168"/>
    <mergeCell ref="R167:R168"/>
    <mergeCell ref="S167:S168"/>
    <mergeCell ref="T167:T168"/>
    <mergeCell ref="E163:L163"/>
    <mergeCell ref="E166:L166"/>
    <mergeCell ref="E167:E168"/>
    <mergeCell ref="F167:F168"/>
    <mergeCell ref="G167:G168"/>
    <mergeCell ref="H167:H168"/>
    <mergeCell ref="I167:I168"/>
    <mergeCell ref="J167:J168"/>
    <mergeCell ref="K167:K168"/>
    <mergeCell ref="L167:L168"/>
    <mergeCell ref="M171:M172"/>
    <mergeCell ref="P171:P172"/>
    <mergeCell ref="Q171:Q172"/>
    <mergeCell ref="R171:R172"/>
    <mergeCell ref="S171:S172"/>
    <mergeCell ref="T171:T172"/>
    <mergeCell ref="E170:L170"/>
    <mergeCell ref="E171:E172"/>
    <mergeCell ref="F171:F172"/>
    <mergeCell ref="G171:G172"/>
    <mergeCell ref="H171:H172"/>
    <mergeCell ref="I171:I172"/>
    <mergeCell ref="J171:J172"/>
    <mergeCell ref="K171:K172"/>
    <mergeCell ref="L171:L172"/>
  </mergeCells>
  <pageMargins left="0.7" right="0.7" top="0.75" bottom="0.75" header="0.3" footer="0.3"/>
  <pageSetup orientation="portrait" r:id="rId1"/>
  <drawing r:id="rId2"/>
  <legacyDrawing r:id="rId3"/>
  <controls>
    <mc:AlternateContent xmlns:mc="http://schemas.openxmlformats.org/markup-compatibility/2006">
      <mc:Choice Requires="x14">
        <control shapeId="13313" r:id="rId4" name="btnGenerateFile">
          <controlPr defaultSize="0" autoLine="0" r:id="rId5">
            <anchor moveWithCells="1">
              <from>
                <xdr:col>9</xdr:col>
                <xdr:colOff>600075</xdr:colOff>
                <xdr:row>176</xdr:row>
                <xdr:rowOff>104775</xdr:rowOff>
              </from>
              <to>
                <xdr:col>13</xdr:col>
                <xdr:colOff>333375</xdr:colOff>
                <xdr:row>180</xdr:row>
                <xdr:rowOff>95250</xdr:rowOff>
              </to>
            </anchor>
          </controlPr>
        </control>
      </mc:Choice>
      <mc:Fallback>
        <control shapeId="13313" r:id="rId4" name="btnGenerateFi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A4E65196-E31C-4586-A481-B1C512EC028E}">
          <x14:formula1>
            <xm:f>Variables!$F$7:$F$12</xm:f>
          </x14:formula1>
          <xm:sqref>E163:L163</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195D80-0CFA-46C5-8A5D-E58211332D43}">
  <sheetPr codeName="Sheet5"/>
  <dimension ref="A3:T173"/>
  <sheetViews>
    <sheetView workbookViewId="0">
      <pane ySplit="4" topLeftCell="A5" activePane="bottomLeft" state="frozen"/>
      <selection pane="bottomLeft" activeCell="P167" sqref="P167:P168"/>
    </sheetView>
  </sheetViews>
  <sheetFormatPr defaultRowHeight="15" x14ac:dyDescent="0.25"/>
  <cols>
    <col min="2" max="3" width="10.5703125" customWidth="1"/>
    <col min="16" max="16" width="9.42578125" customWidth="1"/>
  </cols>
  <sheetData>
    <row r="3" spans="1:20" x14ac:dyDescent="0.25">
      <c r="E3" s="73" t="s">
        <v>9</v>
      </c>
      <c r="F3" s="73"/>
      <c r="G3" s="73"/>
      <c r="H3" s="73"/>
      <c r="I3" s="73"/>
      <c r="J3" s="73"/>
      <c r="K3" s="73"/>
      <c r="L3" s="73"/>
      <c r="M3" s="65" t="s">
        <v>10</v>
      </c>
      <c r="N3" s="73" t="s">
        <v>30</v>
      </c>
      <c r="O3" s="73"/>
      <c r="P3" s="67" t="s">
        <v>11</v>
      </c>
      <c r="Q3" s="67" t="s">
        <v>14</v>
      </c>
      <c r="R3" s="67" t="s">
        <v>11</v>
      </c>
      <c r="S3" s="67" t="s">
        <v>12</v>
      </c>
      <c r="T3" s="68" t="s">
        <v>88</v>
      </c>
    </row>
    <row r="4" spans="1:20" x14ac:dyDescent="0.25">
      <c r="E4" s="73"/>
      <c r="F4" s="73"/>
      <c r="G4" s="73"/>
      <c r="H4" s="73"/>
      <c r="I4" s="73"/>
      <c r="J4" s="73"/>
      <c r="K4" s="73"/>
      <c r="L4" s="73"/>
      <c r="M4" s="66"/>
      <c r="N4" s="73"/>
      <c r="O4" s="73"/>
      <c r="P4" s="67"/>
      <c r="Q4" s="67"/>
      <c r="R4" s="67"/>
      <c r="S4" s="67"/>
      <c r="T4" s="68"/>
    </row>
    <row r="5" spans="1:20" ht="15.75" thickBot="1" x14ac:dyDescent="0.3">
      <c r="E5" s="57" t="s">
        <v>16</v>
      </c>
      <c r="F5" s="57"/>
      <c r="G5" s="57"/>
      <c r="H5" s="57"/>
      <c r="I5" s="57"/>
      <c r="J5" s="57"/>
      <c r="K5" s="57"/>
      <c r="L5" s="57"/>
      <c r="N5" s="4"/>
      <c r="O5" s="7"/>
      <c r="P5" s="9"/>
      <c r="Q5" s="2" t="s">
        <v>15</v>
      </c>
      <c r="R5" s="13">
        <f>_xlfn.BITAND(P6,255)</f>
        <v>238</v>
      </c>
      <c r="S5" s="13" t="str">
        <f>IF(R5&lt;16,CONCATENATE("0x0",(DEC2HEX(R5))),CONCATENATE("0x",(DEC2HEX(R5))))</f>
        <v>0xEE</v>
      </c>
      <c r="T5" s="5" t="str">
        <f>DEC2BIN(R5,8)</f>
        <v>11101110</v>
      </c>
    </row>
    <row r="6" spans="1:20" ht="15.75" thickBot="1" x14ac:dyDescent="0.3">
      <c r="A6" s="69" t="s">
        <v>199</v>
      </c>
      <c r="B6" s="70"/>
      <c r="C6" s="71"/>
      <c r="E6" s="72">
        <v>4.18</v>
      </c>
      <c r="F6" s="72"/>
      <c r="G6" s="72"/>
      <c r="H6" s="72"/>
      <c r="I6" s="72"/>
      <c r="J6" s="72"/>
      <c r="K6" s="72"/>
      <c r="L6" s="72"/>
      <c r="M6" s="18" t="s">
        <v>5</v>
      </c>
      <c r="N6" s="5">
        <f>(P6*Variables!C1/Variables!C3)*Variables!C2</f>
        <v>4.1799267399267448</v>
      </c>
      <c r="O6" s="2" t="s">
        <v>5</v>
      </c>
      <c r="P6" s="5">
        <f>(IF(E6&lt;0,0,IF(E6&gt;4.8,4095,ROUND((E6/Variables!F3),0))))</f>
        <v>3566</v>
      </c>
      <c r="Q6" s="25"/>
      <c r="R6" s="25"/>
      <c r="S6" s="2"/>
      <c r="T6" s="1"/>
    </row>
    <row r="7" spans="1:20" ht="15.75" thickBot="1" x14ac:dyDescent="0.3">
      <c r="E7" s="57" t="s">
        <v>0</v>
      </c>
      <c r="F7" s="57"/>
      <c r="G7" s="57"/>
      <c r="H7" s="57"/>
      <c r="I7" s="57"/>
      <c r="J7" s="57"/>
      <c r="K7" s="57"/>
      <c r="L7" s="57"/>
      <c r="N7" s="4"/>
      <c r="O7" s="8"/>
      <c r="P7" s="10"/>
      <c r="Q7" s="2" t="s">
        <v>13</v>
      </c>
      <c r="R7" s="13">
        <f>(P8*2^4)+((_xlfn.BITAND(P6,3840))/(2^8))</f>
        <v>29</v>
      </c>
      <c r="S7" s="13" t="str">
        <f>IF(R7&lt;16,CONCATENATE("0x0",(DEC2HEX(R7))),CONCATENATE("0x",(DEC2HEX(R7))))</f>
        <v>0x1D</v>
      </c>
      <c r="T7" s="5" t="str">
        <f>DEC2BIN(R7,8)</f>
        <v>00011101</v>
      </c>
    </row>
    <row r="8" spans="1:20" x14ac:dyDescent="0.25">
      <c r="A8" s="48" t="s">
        <v>198</v>
      </c>
      <c r="B8" s="49"/>
      <c r="C8" s="50"/>
      <c r="E8" s="54">
        <v>1</v>
      </c>
      <c r="F8" s="55"/>
      <c r="G8" s="55"/>
      <c r="H8" s="55"/>
      <c r="I8" s="55"/>
      <c r="J8" s="55"/>
      <c r="K8" s="55"/>
      <c r="L8" s="56"/>
      <c r="M8" s="18" t="s">
        <v>4</v>
      </c>
      <c r="N8" s="5">
        <f>(IF(E8&lt;0,0,IF(E8&gt;15,15,ROUND(E8,0))))</f>
        <v>1</v>
      </c>
      <c r="O8" s="16" t="s">
        <v>4</v>
      </c>
      <c r="P8" s="5">
        <f>N8</f>
        <v>1</v>
      </c>
      <c r="Q8" s="25"/>
      <c r="R8" s="25"/>
      <c r="S8" s="2"/>
      <c r="T8" s="1"/>
    </row>
    <row r="9" spans="1:20" ht="15.75" thickBot="1" x14ac:dyDescent="0.3">
      <c r="A9" s="51"/>
      <c r="B9" s="52"/>
      <c r="C9" s="53"/>
      <c r="E9" s="57" t="s">
        <v>17</v>
      </c>
      <c r="F9" s="57"/>
      <c r="G9" s="57"/>
      <c r="H9" s="57"/>
      <c r="I9" s="57"/>
      <c r="J9" s="57"/>
      <c r="K9" s="57"/>
      <c r="L9" s="57"/>
      <c r="M9" s="1"/>
      <c r="P9" s="1"/>
      <c r="Q9" s="2" t="s">
        <v>18</v>
      </c>
      <c r="R9" s="13">
        <f>_xlfn.BITAND(P10,255)</f>
        <v>170</v>
      </c>
      <c r="S9" s="13" t="str">
        <f>IF(R9&lt;16,CONCATENATE("0x0",(DEC2HEX(R9))),CONCATENATE("0x",(DEC2HEX(R9))))</f>
        <v>0xAA</v>
      </c>
      <c r="T9" s="5" t="str">
        <f>DEC2BIN(R9,8)</f>
        <v>10101010</v>
      </c>
    </row>
    <row r="10" spans="1:20" x14ac:dyDescent="0.25">
      <c r="A10" s="58" t="s">
        <v>197</v>
      </c>
      <c r="B10" s="58"/>
      <c r="C10" s="58"/>
      <c r="E10" s="59">
        <v>4.0999999999999996</v>
      </c>
      <c r="F10" s="60"/>
      <c r="G10" s="60"/>
      <c r="H10" s="60"/>
      <c r="I10" s="60"/>
      <c r="J10" s="60"/>
      <c r="K10" s="60"/>
      <c r="L10" s="61"/>
      <c r="M10" s="65" t="s">
        <v>5</v>
      </c>
      <c r="N10" s="76">
        <f>(P10*Variables!C1/Variables!C3)*Variables!C2</f>
        <v>4.1002197802197857</v>
      </c>
      <c r="O10" s="77" t="s">
        <v>5</v>
      </c>
      <c r="P10" s="79">
        <f>(IF(E10&lt;0,0,IF(E10&gt;4.8,4095,ROUND((E10/Variables!F3),0))))</f>
        <v>3498</v>
      </c>
      <c r="Q10" s="2"/>
      <c r="R10" s="3"/>
      <c r="S10" s="2"/>
      <c r="T10" s="1"/>
    </row>
    <row r="11" spans="1:20" x14ac:dyDescent="0.25">
      <c r="E11" s="62"/>
      <c r="F11" s="63"/>
      <c r="G11" s="63"/>
      <c r="H11" s="63"/>
      <c r="I11" s="63"/>
      <c r="J11" s="63"/>
      <c r="K11" s="63"/>
      <c r="L11" s="64"/>
      <c r="M11" s="66"/>
      <c r="N11" s="76"/>
      <c r="O11" s="78"/>
      <c r="P11" s="80"/>
      <c r="Q11" s="2" t="s">
        <v>19</v>
      </c>
      <c r="R11" s="13">
        <f>((_xlfn.BITAND(P10,3840))/(2^8))</f>
        <v>13</v>
      </c>
      <c r="S11" s="13" t="str">
        <f>IF(R11&lt;16,CONCATENATE("0x0",(DEC2HEX(R11))),CONCATENATE("0x",(DEC2HEX(R11))))</f>
        <v>0x0D</v>
      </c>
      <c r="T11" s="5" t="str">
        <f>DEC2BIN(R11,8)</f>
        <v>00001101</v>
      </c>
    </row>
    <row r="12" spans="1:20" x14ac:dyDescent="0.25">
      <c r="E12" s="57" t="s">
        <v>20</v>
      </c>
      <c r="F12" s="57"/>
      <c r="G12" s="57"/>
      <c r="H12" s="57"/>
      <c r="I12" s="57"/>
      <c r="J12" s="57"/>
      <c r="K12" s="57"/>
      <c r="L12" s="57"/>
      <c r="M12" s="4"/>
      <c r="N12" s="14"/>
      <c r="O12" s="6"/>
      <c r="P12" s="14"/>
      <c r="Q12" s="2"/>
      <c r="R12" s="3"/>
      <c r="S12" s="2"/>
      <c r="T12" s="1"/>
    </row>
    <row r="13" spans="1:20" x14ac:dyDescent="0.25">
      <c r="E13" s="72">
        <v>2.6</v>
      </c>
      <c r="F13" s="72"/>
      <c r="G13" s="72"/>
      <c r="H13" s="72"/>
      <c r="I13" s="72"/>
      <c r="J13" s="72"/>
      <c r="K13" s="72"/>
      <c r="L13" s="72"/>
      <c r="M13" s="17" t="s">
        <v>5</v>
      </c>
      <c r="N13" s="5">
        <f>(P13*Variables!C1/Variables!C3)*Variables!C2</f>
        <v>2.5998534798534831</v>
      </c>
      <c r="O13" s="2" t="s">
        <v>5</v>
      </c>
      <c r="P13" s="5">
        <f>(IF(E13&lt;0,0,IF(E13&gt;4.8,4095,ROUND((E13/Variables!F3),0))))</f>
        <v>2218</v>
      </c>
      <c r="Q13" s="2" t="s">
        <v>21</v>
      </c>
      <c r="R13" s="13">
        <f>_xlfn.BITAND(P13,255)</f>
        <v>170</v>
      </c>
      <c r="S13" s="13" t="str">
        <f>IF(R13&lt;16,CONCATENATE("0x0",(DEC2HEX(R13))),CONCATENATE("0x",(DEC2HEX(R13))))</f>
        <v>0xAA</v>
      </c>
      <c r="T13" s="5" t="str">
        <f>DEC2BIN(R13,8)</f>
        <v>10101010</v>
      </c>
    </row>
    <row r="14" spans="1:20" x14ac:dyDescent="0.25">
      <c r="E14" s="74" t="s">
        <v>23</v>
      </c>
      <c r="F14" s="74"/>
      <c r="G14" s="74"/>
      <c r="H14" s="74"/>
      <c r="I14" s="74"/>
      <c r="J14" s="74"/>
      <c r="K14" s="74"/>
      <c r="L14" s="74"/>
      <c r="M14" s="1"/>
      <c r="N14" s="15"/>
      <c r="P14" s="14"/>
      <c r="Q14" s="2"/>
      <c r="R14" s="2"/>
      <c r="S14" s="2"/>
      <c r="T14" s="1"/>
    </row>
    <row r="15" spans="1:20" x14ac:dyDescent="0.25">
      <c r="E15" s="72">
        <v>15</v>
      </c>
      <c r="F15" s="72"/>
      <c r="G15" s="72"/>
      <c r="H15" s="72"/>
      <c r="I15" s="72"/>
      <c r="J15" s="72"/>
      <c r="K15" s="72"/>
      <c r="L15" s="72"/>
      <c r="M15" s="2" t="s">
        <v>4</v>
      </c>
      <c r="N15" s="5">
        <f>(IF(E15&lt;0,0,IF(E15&gt;15,15,ROUND(E15,0))))</f>
        <v>15</v>
      </c>
      <c r="O15" s="2" t="s">
        <v>4</v>
      </c>
      <c r="P15" s="5">
        <f>N15</f>
        <v>15</v>
      </c>
      <c r="Q15" s="2" t="s">
        <v>22</v>
      </c>
      <c r="R15" s="13">
        <f>(P15*2^4)+((_xlfn.BITAND(P13,3840))/(2^8))</f>
        <v>248</v>
      </c>
      <c r="S15" s="13" t="str">
        <f>IF(R15&lt;16,CONCATENATE("0x0",(DEC2HEX(R15))),CONCATENATE("0x",(DEC2HEX(R15))))</f>
        <v>0xF8</v>
      </c>
      <c r="T15" s="5" t="str">
        <f>DEC2BIN(R15,8)</f>
        <v>11111000</v>
      </c>
    </row>
    <row r="16" spans="1:20" x14ac:dyDescent="0.25">
      <c r="E16" s="74" t="s">
        <v>24</v>
      </c>
      <c r="F16" s="74"/>
      <c r="G16" s="74"/>
      <c r="H16" s="74"/>
      <c r="I16" s="74"/>
      <c r="J16" s="74"/>
      <c r="K16" s="74"/>
      <c r="L16" s="74"/>
      <c r="M16" s="2"/>
      <c r="P16" s="14"/>
      <c r="Q16" s="3"/>
      <c r="R16" s="2"/>
      <c r="S16" s="2"/>
      <c r="T16" s="1"/>
    </row>
    <row r="17" spans="5:20" x14ac:dyDescent="0.25">
      <c r="E17" s="75">
        <v>2.8</v>
      </c>
      <c r="F17" s="75"/>
      <c r="G17" s="75"/>
      <c r="H17" s="75"/>
      <c r="I17" s="75"/>
      <c r="J17" s="75"/>
      <c r="K17" s="75"/>
      <c r="L17" s="75"/>
      <c r="M17" s="73" t="s">
        <v>5</v>
      </c>
      <c r="N17" s="76">
        <f>(P17*Variables!C1/Variables!C3)*Variables!C2</f>
        <v>2.8002930402930435</v>
      </c>
      <c r="O17" s="73" t="s">
        <v>5</v>
      </c>
      <c r="P17" s="76">
        <f>(IF(E17&lt;0,0,IF(E17&gt;4.8,4095,ROUND((E17/Variables!F3),0))))</f>
        <v>2389</v>
      </c>
      <c r="Q17" s="2" t="s">
        <v>25</v>
      </c>
      <c r="R17" s="13">
        <f>_xlfn.BITAND(P17,255)</f>
        <v>85</v>
      </c>
      <c r="S17" s="13" t="str">
        <f>IF(R17&lt;16,CONCATENATE("0x0",(DEC2HEX(R17))),CONCATENATE("0x",(DEC2HEX(R17))))</f>
        <v>0x55</v>
      </c>
      <c r="T17" s="5" t="str">
        <f>DEC2BIN(R17,8)</f>
        <v>01010101</v>
      </c>
    </row>
    <row r="18" spans="5:20" x14ac:dyDescent="0.25">
      <c r="E18" s="75"/>
      <c r="F18" s="75"/>
      <c r="G18" s="75"/>
      <c r="H18" s="75"/>
      <c r="I18" s="75"/>
      <c r="J18" s="75"/>
      <c r="K18" s="75"/>
      <c r="L18" s="75"/>
      <c r="M18" s="73"/>
      <c r="N18" s="76"/>
      <c r="O18" s="73"/>
      <c r="P18" s="76"/>
      <c r="Q18" s="2"/>
      <c r="R18" s="2"/>
      <c r="S18" s="2"/>
      <c r="T18" s="1"/>
    </row>
    <row r="19" spans="5:20" x14ac:dyDescent="0.25">
      <c r="E19" s="75"/>
      <c r="F19" s="75"/>
      <c r="G19" s="75"/>
      <c r="H19" s="75"/>
      <c r="I19" s="75"/>
      <c r="J19" s="75"/>
      <c r="K19" s="75"/>
      <c r="L19" s="75"/>
      <c r="M19" s="73"/>
      <c r="N19" s="76"/>
      <c r="O19" s="73"/>
      <c r="P19" s="76"/>
      <c r="Q19" s="2" t="s">
        <v>26</v>
      </c>
      <c r="R19" s="13">
        <f>((_xlfn.BITAND(P17,3840))/(2^8))</f>
        <v>9</v>
      </c>
      <c r="S19" s="13" t="str">
        <f>IF(R19&lt;16,CONCATENATE("0x0",(DEC2HEX(R19))),CONCATENATE("0x",(DEC2HEX(R19))))</f>
        <v>0x09</v>
      </c>
      <c r="T19" s="5" t="str">
        <f>DEC2BIN(R19,8)</f>
        <v>00001001</v>
      </c>
    </row>
    <row r="20" spans="5:20" x14ac:dyDescent="0.25">
      <c r="E20" s="57" t="s">
        <v>27</v>
      </c>
      <c r="F20" s="57"/>
      <c r="G20" s="57"/>
      <c r="H20" s="57"/>
      <c r="I20" s="57"/>
      <c r="J20" s="57"/>
      <c r="K20" s="57"/>
      <c r="L20" s="57"/>
      <c r="M20" s="1"/>
      <c r="P20" s="1"/>
      <c r="Q20" s="3"/>
      <c r="R20" s="2"/>
      <c r="S20" s="2"/>
      <c r="T20" s="1"/>
    </row>
    <row r="21" spans="5:20" x14ac:dyDescent="0.25">
      <c r="E21" s="75">
        <v>4.25</v>
      </c>
      <c r="F21" s="75"/>
      <c r="G21" s="75"/>
      <c r="H21" s="75"/>
      <c r="I21" s="75"/>
      <c r="J21" s="75"/>
      <c r="K21" s="75"/>
      <c r="L21" s="75"/>
      <c r="M21" s="73" t="s">
        <v>5</v>
      </c>
      <c r="N21" s="79">
        <f>(P21*Variables!C1/Variables!C3)*Variables!C2</f>
        <v>4.2502564102564158</v>
      </c>
      <c r="O21" s="73" t="s">
        <v>5</v>
      </c>
      <c r="P21" s="76">
        <f>(IF(E21&lt;0,0,IF(E21&gt;4.8,4095,ROUND((E21/Variables!F3),0))))</f>
        <v>3626</v>
      </c>
      <c r="Q21" s="2" t="s">
        <v>28</v>
      </c>
      <c r="R21" s="13">
        <f>_xlfn.BITAND(P21,255)</f>
        <v>42</v>
      </c>
      <c r="S21" s="13" t="str">
        <f>IF(R21&lt;16,CONCATENATE("0x0",(DEC2HEX(R21))),CONCATENATE("0x",(DEC2HEX(R21))))</f>
        <v>0x2A</v>
      </c>
      <c r="T21" s="5" t="str">
        <f>DEC2BIN(R21,8)</f>
        <v>00101010</v>
      </c>
    </row>
    <row r="22" spans="5:20" x14ac:dyDescent="0.25">
      <c r="E22" s="75"/>
      <c r="F22" s="75"/>
      <c r="G22" s="75"/>
      <c r="H22" s="75"/>
      <c r="I22" s="75"/>
      <c r="J22" s="75"/>
      <c r="K22" s="75"/>
      <c r="L22" s="75"/>
      <c r="M22" s="73"/>
      <c r="N22" s="82"/>
      <c r="O22" s="73"/>
      <c r="P22" s="76"/>
      <c r="Q22" s="2"/>
      <c r="R22" s="2"/>
      <c r="S22" s="2"/>
      <c r="T22" s="1"/>
    </row>
    <row r="23" spans="5:20" x14ac:dyDescent="0.25">
      <c r="E23" s="75"/>
      <c r="F23" s="75"/>
      <c r="G23" s="75"/>
      <c r="H23" s="75"/>
      <c r="I23" s="75"/>
      <c r="J23" s="75"/>
      <c r="K23" s="75"/>
      <c r="L23" s="75"/>
      <c r="M23" s="73"/>
      <c r="N23" s="80"/>
      <c r="O23" s="73"/>
      <c r="P23" s="76"/>
      <c r="Q23" s="2" t="s">
        <v>29</v>
      </c>
      <c r="R23" s="13">
        <f>((_xlfn.BITAND(P21,3840))/(2^8))</f>
        <v>14</v>
      </c>
      <c r="S23" s="13" t="str">
        <f>IF(R23&lt;16,CONCATENATE("0x0",(DEC2HEX(R23))),CONCATENATE("0x",(DEC2HEX(R23))))</f>
        <v>0x0E</v>
      </c>
      <c r="T23" s="5" t="str">
        <f>DEC2BIN(R23,8)</f>
        <v>00001110</v>
      </c>
    </row>
    <row r="24" spans="5:20" x14ac:dyDescent="0.25">
      <c r="E24" s="57" t="s">
        <v>31</v>
      </c>
      <c r="F24" s="57"/>
      <c r="G24" s="57"/>
      <c r="H24" s="57"/>
      <c r="I24" s="57"/>
      <c r="J24" s="57"/>
      <c r="K24" s="57"/>
      <c r="L24" s="57"/>
      <c r="M24" s="1"/>
      <c r="P24" s="1"/>
      <c r="Q24" s="2"/>
      <c r="R24" s="2"/>
      <c r="S24" s="2"/>
      <c r="T24" s="1"/>
    </row>
    <row r="25" spans="5:20" x14ac:dyDescent="0.25">
      <c r="E25" s="75">
        <v>2.5</v>
      </c>
      <c r="F25" s="75"/>
      <c r="G25" s="75"/>
      <c r="H25" s="75"/>
      <c r="I25" s="75"/>
      <c r="J25" s="75"/>
      <c r="K25" s="75"/>
      <c r="L25" s="75"/>
      <c r="M25" s="73" t="s">
        <v>5</v>
      </c>
      <c r="N25" s="76">
        <f>(P25*Variables!C1/Variables!C3)*Variables!C2</f>
        <v>2.5002197802197834</v>
      </c>
      <c r="O25" s="65" t="s">
        <v>5</v>
      </c>
      <c r="P25" s="76">
        <f>(IF(E25&lt;0,0,IF(E25&gt;4.8,4095,ROUND((E25/Variables!F3),0))))</f>
        <v>2133</v>
      </c>
      <c r="Q25" s="2" t="s">
        <v>32</v>
      </c>
      <c r="R25" s="13">
        <f>_xlfn.BITAND(P25,255)</f>
        <v>85</v>
      </c>
      <c r="S25" s="13" t="str">
        <f>IF(R25&lt;16,CONCATENATE("0x0",(DEC2HEX(R25))),CONCATENATE("0x",(DEC2HEX(R25))))</f>
        <v>0x55</v>
      </c>
      <c r="T25" s="5" t="str">
        <f>DEC2BIN(R25,8)</f>
        <v>01010101</v>
      </c>
    </row>
    <row r="26" spans="5:20" x14ac:dyDescent="0.25">
      <c r="E26" s="75"/>
      <c r="F26" s="75"/>
      <c r="G26" s="75"/>
      <c r="H26" s="75"/>
      <c r="I26" s="75"/>
      <c r="J26" s="75"/>
      <c r="K26" s="75"/>
      <c r="L26" s="75"/>
      <c r="M26" s="73"/>
      <c r="N26" s="76"/>
      <c r="O26" s="81"/>
      <c r="P26" s="76"/>
      <c r="Q26" s="2"/>
      <c r="R26" s="2"/>
      <c r="S26" s="2"/>
      <c r="T26" s="1"/>
    </row>
    <row r="27" spans="5:20" x14ac:dyDescent="0.25">
      <c r="E27" s="75"/>
      <c r="F27" s="75"/>
      <c r="G27" s="75"/>
      <c r="H27" s="75"/>
      <c r="I27" s="75"/>
      <c r="J27" s="75"/>
      <c r="K27" s="75"/>
      <c r="L27" s="75"/>
      <c r="M27" s="73"/>
      <c r="N27" s="76"/>
      <c r="O27" s="66"/>
      <c r="P27" s="76"/>
      <c r="Q27" s="2" t="s">
        <v>33</v>
      </c>
      <c r="R27" s="13">
        <f>((_xlfn.BITAND(P25,3840))/(2^8))</f>
        <v>8</v>
      </c>
      <c r="S27" s="13" t="str">
        <f>IF(R27&lt;16,CONCATENATE("0x0",(DEC2HEX(R27))),CONCATENATE("0x",(DEC2HEX(R27))))</f>
        <v>0x08</v>
      </c>
      <c r="T27" s="5" t="str">
        <f>DEC2BIN(R27,8)</f>
        <v>00001000</v>
      </c>
    </row>
    <row r="28" spans="5:20" x14ac:dyDescent="0.25">
      <c r="E28" s="57" t="s">
        <v>34</v>
      </c>
      <c r="F28" s="57"/>
      <c r="G28" s="57"/>
      <c r="H28" s="57"/>
      <c r="I28" s="57"/>
      <c r="J28" s="57"/>
      <c r="K28" s="57"/>
      <c r="L28" s="57"/>
      <c r="M28" s="1"/>
      <c r="P28" s="1"/>
      <c r="Q28" s="2"/>
      <c r="R28" s="2"/>
      <c r="S28" s="2"/>
      <c r="T28" s="1"/>
    </row>
    <row r="29" spans="5:20" x14ac:dyDescent="0.25">
      <c r="E29" s="59">
        <v>4.0999999999999996</v>
      </c>
      <c r="F29" s="60"/>
      <c r="G29" s="60"/>
      <c r="H29" s="60"/>
      <c r="I29" s="60"/>
      <c r="J29" s="60"/>
      <c r="K29" s="60"/>
      <c r="L29" s="61"/>
      <c r="M29" s="65" t="s">
        <v>5</v>
      </c>
      <c r="N29" s="76">
        <f>(P29*Variables!C1/Variables!C3)*Variables!C2</f>
        <v>4.1002197802197857</v>
      </c>
      <c r="O29" s="73" t="s">
        <v>5</v>
      </c>
      <c r="P29" s="76">
        <f>(IF(E29&lt;0,0,IF(E29&gt;4.8,4095,ROUND((E29/Variables!F3),0))))</f>
        <v>3498</v>
      </c>
      <c r="Q29" s="2" t="s">
        <v>35</v>
      </c>
      <c r="R29" s="13">
        <f>_xlfn.BITAND(P29,255)</f>
        <v>170</v>
      </c>
      <c r="S29" s="13" t="str">
        <f>IF(R29&lt;16,CONCATENATE("0x0",(DEC2HEX(R29))),CONCATENATE("0x",(DEC2HEX(R29))))</f>
        <v>0xAA</v>
      </c>
      <c r="T29" s="5" t="str">
        <f>DEC2BIN(R29,8)</f>
        <v>10101010</v>
      </c>
    </row>
    <row r="30" spans="5:20" x14ac:dyDescent="0.25">
      <c r="E30" s="83"/>
      <c r="F30" s="84"/>
      <c r="G30" s="84"/>
      <c r="H30" s="84"/>
      <c r="I30" s="84"/>
      <c r="J30" s="84"/>
      <c r="K30" s="84"/>
      <c r="L30" s="85"/>
      <c r="M30" s="81"/>
      <c r="N30" s="76"/>
      <c r="O30" s="73"/>
      <c r="P30" s="76"/>
      <c r="Q30" s="2"/>
      <c r="R30" s="2"/>
      <c r="S30" s="2"/>
      <c r="T30" s="1"/>
    </row>
    <row r="31" spans="5:20" x14ac:dyDescent="0.25">
      <c r="E31" s="62"/>
      <c r="F31" s="63"/>
      <c r="G31" s="63"/>
      <c r="H31" s="63"/>
      <c r="I31" s="63"/>
      <c r="J31" s="63"/>
      <c r="K31" s="63"/>
      <c r="L31" s="64"/>
      <c r="M31" s="66"/>
      <c r="N31" s="76"/>
      <c r="O31" s="73"/>
      <c r="P31" s="76"/>
      <c r="Q31" s="2" t="s">
        <v>38</v>
      </c>
      <c r="R31" s="13">
        <f>((_xlfn.BITAND(P29,3840))/(2^8))</f>
        <v>13</v>
      </c>
      <c r="S31" s="13" t="str">
        <f>IF(R31&lt;16,CONCATENATE("0x0",(DEC2HEX(R31))),CONCATENATE("0x",(DEC2HEX(R31))))</f>
        <v>0x0D</v>
      </c>
      <c r="T31" s="5" t="str">
        <f>DEC2BIN(R31,8)</f>
        <v>00001101</v>
      </c>
    </row>
    <row r="32" spans="5:20" x14ac:dyDescent="0.25">
      <c r="E32" s="57" t="s">
        <v>36</v>
      </c>
      <c r="F32" s="57"/>
      <c r="G32" s="57"/>
      <c r="H32" s="57"/>
      <c r="I32" s="57"/>
      <c r="J32" s="57"/>
      <c r="K32" s="57"/>
      <c r="L32" s="57"/>
      <c r="M32" s="1"/>
      <c r="P32" s="1"/>
      <c r="Q32" s="2"/>
      <c r="R32" s="2"/>
      <c r="S32" s="2"/>
      <c r="T32" s="1"/>
    </row>
    <row r="33" spans="5:20" x14ac:dyDescent="0.25">
      <c r="E33" s="75">
        <v>2.7</v>
      </c>
      <c r="F33" s="75"/>
      <c r="G33" s="75"/>
      <c r="H33" s="75"/>
      <c r="I33" s="75"/>
      <c r="J33" s="75"/>
      <c r="K33" s="75"/>
      <c r="L33" s="75"/>
      <c r="M33" s="73" t="s">
        <v>5</v>
      </c>
      <c r="N33" s="76">
        <f>(P33*Variables!C1/Variables!C3)*Variables!C2</f>
        <v>2.6994871794871829</v>
      </c>
      <c r="O33" s="73" t="s">
        <v>5</v>
      </c>
      <c r="P33" s="76">
        <f>(IF(E33&lt;0,0,IF(E33&gt;4.8,4095,ROUND((E33/Variables!F3),0))))</f>
        <v>2303</v>
      </c>
      <c r="Q33" s="2" t="s">
        <v>37</v>
      </c>
      <c r="R33" s="13">
        <f>_xlfn.BITAND(P33,255)</f>
        <v>255</v>
      </c>
      <c r="S33" s="13" t="str">
        <f>IF(R33&lt;16,CONCATENATE("0x0",(DEC2HEX(R33))),CONCATENATE("0x",(DEC2HEX(R33))))</f>
        <v>0xFF</v>
      </c>
      <c r="T33" s="5" t="str">
        <f>DEC2BIN(R33,8)</f>
        <v>11111111</v>
      </c>
    </row>
    <row r="34" spans="5:20" x14ac:dyDescent="0.25">
      <c r="E34" s="75"/>
      <c r="F34" s="75"/>
      <c r="G34" s="75"/>
      <c r="H34" s="75"/>
      <c r="I34" s="75"/>
      <c r="J34" s="75"/>
      <c r="K34" s="75"/>
      <c r="L34" s="75"/>
      <c r="M34" s="73"/>
      <c r="N34" s="76"/>
      <c r="O34" s="73"/>
      <c r="P34" s="76"/>
      <c r="Q34" s="2"/>
      <c r="R34" s="2"/>
      <c r="S34" s="2"/>
      <c r="T34" s="1"/>
    </row>
    <row r="35" spans="5:20" x14ac:dyDescent="0.25">
      <c r="E35" s="75"/>
      <c r="F35" s="75"/>
      <c r="G35" s="75"/>
      <c r="H35" s="75"/>
      <c r="I35" s="75"/>
      <c r="J35" s="75"/>
      <c r="K35" s="75"/>
      <c r="L35" s="75"/>
      <c r="M35" s="73"/>
      <c r="N35" s="76"/>
      <c r="O35" s="73"/>
      <c r="P35" s="76"/>
      <c r="Q35" s="2" t="s">
        <v>39</v>
      </c>
      <c r="R35" s="13">
        <f>((_xlfn.BITAND(P33,3840))/(2^8))</f>
        <v>8</v>
      </c>
      <c r="S35" s="13" t="str">
        <f>IF(R35&lt;16,CONCATENATE("0x0",(DEC2HEX(R35))),CONCATENATE("0x",(DEC2HEX(R35))))</f>
        <v>0x08</v>
      </c>
      <c r="T35" s="5" t="str">
        <f>DEC2BIN(R35,8)</f>
        <v>00001000</v>
      </c>
    </row>
    <row r="36" spans="5:20" x14ac:dyDescent="0.25">
      <c r="E36" s="57" t="s">
        <v>42</v>
      </c>
      <c r="F36" s="57"/>
      <c r="G36" s="57"/>
      <c r="H36" s="57"/>
      <c r="I36" s="57"/>
      <c r="J36" s="57"/>
      <c r="K36" s="57"/>
      <c r="L36" s="57"/>
      <c r="M36" s="1"/>
      <c r="P36" s="1"/>
      <c r="Q36" s="2"/>
      <c r="R36" s="2"/>
      <c r="S36" s="2"/>
      <c r="T36" s="1"/>
    </row>
    <row r="37" spans="5:20" x14ac:dyDescent="0.25">
      <c r="E37" s="54">
        <v>5</v>
      </c>
      <c r="F37" s="55"/>
      <c r="G37" s="55"/>
      <c r="H37" s="55"/>
      <c r="I37" s="55"/>
      <c r="J37" s="55"/>
      <c r="K37" s="55"/>
      <c r="L37" s="56"/>
      <c r="M37" s="16"/>
      <c r="N37" s="22">
        <f>IF(E37&lt;0,"0",IF(E37&gt;1024,"1024",ROUND(E37,0)))</f>
        <v>5</v>
      </c>
      <c r="O37" s="22" t="str">
        <f>N40</f>
        <v>s</v>
      </c>
      <c r="P37" s="23">
        <f>N37</f>
        <v>5</v>
      </c>
      <c r="Q37" s="2" t="s">
        <v>41</v>
      </c>
      <c r="R37" s="13">
        <f>_xlfn.BITAND(P37,255)</f>
        <v>5</v>
      </c>
      <c r="S37" s="13" t="str">
        <f>IF(R37&lt;16,CONCATENATE("0x0",(DEC2HEX(R37))),CONCATENATE("0x",(DEC2HEX(R37))))</f>
        <v>0x05</v>
      </c>
      <c r="T37" s="5" t="str">
        <f>DEC2BIN(R37,8)</f>
        <v>00000101</v>
      </c>
    </row>
    <row r="38" spans="5:20" x14ac:dyDescent="0.25">
      <c r="E38" s="89" t="s">
        <v>40</v>
      </c>
      <c r="F38" s="90"/>
      <c r="G38" s="90"/>
      <c r="H38" s="90"/>
      <c r="I38" s="90"/>
      <c r="J38" s="90"/>
      <c r="K38" s="90"/>
      <c r="L38" s="91"/>
      <c r="M38" s="11"/>
      <c r="P38" s="11"/>
      <c r="Q38" s="24"/>
      <c r="R38" s="24"/>
      <c r="S38" s="24"/>
      <c r="T38" s="1"/>
    </row>
    <row r="39" spans="5:20" x14ac:dyDescent="0.25">
      <c r="E39" s="86" t="s">
        <v>45</v>
      </c>
      <c r="F39" s="87"/>
      <c r="G39" s="87"/>
      <c r="H39" s="88"/>
      <c r="I39" s="86" t="s">
        <v>46</v>
      </c>
      <c r="J39" s="87"/>
      <c r="K39" s="87"/>
      <c r="L39" s="88"/>
      <c r="M39" s="1"/>
      <c r="P39" s="1"/>
      <c r="Q39" s="2" t="s">
        <v>43</v>
      </c>
      <c r="R39" s="13">
        <f>(P40*4)+((_xlfn.BITAND(P37,768)/2^8))</f>
        <v>8</v>
      </c>
      <c r="S39" s="13" t="str">
        <f>IF(R39&lt;16,CONCATENATE("0x0",(DEC2HEX(R39))),CONCATENATE("0x",(DEC2HEX(R39))))</f>
        <v>0x08</v>
      </c>
      <c r="T39" s="5" t="str">
        <f>DEC2BIN(R39,8)</f>
        <v>00001000</v>
      </c>
    </row>
    <row r="40" spans="5:20" x14ac:dyDescent="0.25">
      <c r="E40" s="54">
        <v>1</v>
      </c>
      <c r="F40" s="55"/>
      <c r="G40" s="55"/>
      <c r="H40" s="56"/>
      <c r="I40" s="72">
        <v>0</v>
      </c>
      <c r="J40" s="72"/>
      <c r="K40" s="72"/>
      <c r="L40" s="72"/>
      <c r="M40" s="21"/>
      <c r="N40" s="13" t="str">
        <f>IF(((E40*2 +I40) = 3),"min",IF((E40*2+I40 = 2), "s",IF((E40*2+I40=1),"ms","us")))</f>
        <v>s</v>
      </c>
      <c r="O40" s="16"/>
      <c r="P40" s="22">
        <f>IF(N40="min",3,IF(N40="s",2,IF(N40="ms",1,0)))</f>
        <v>2</v>
      </c>
      <c r="Q40" s="2"/>
      <c r="R40" s="2"/>
      <c r="S40" s="2"/>
      <c r="T40" s="1"/>
    </row>
    <row r="41" spans="5:20" x14ac:dyDescent="0.25">
      <c r="E41" s="57" t="s">
        <v>201</v>
      </c>
      <c r="F41" s="57"/>
      <c r="G41" s="57"/>
      <c r="H41" s="57"/>
      <c r="I41" s="57"/>
      <c r="J41" s="57"/>
      <c r="K41" s="57"/>
      <c r="L41" s="57"/>
      <c r="M41" s="11"/>
      <c r="P41" s="11"/>
      <c r="Q41" s="24" t="s">
        <v>44</v>
      </c>
      <c r="R41" s="13">
        <f>_xlfn.BITAND(P42,255)</f>
        <v>5</v>
      </c>
      <c r="S41" s="13" t="str">
        <f>IF(R41&lt;16,CONCATENATE("0x0",(DEC2HEX(R41))),CONCATENATE("0x",(DEC2HEX(R41))))</f>
        <v>0x05</v>
      </c>
      <c r="T41" s="5" t="str">
        <f>DEC2BIN(R41,8)</f>
        <v>00000101</v>
      </c>
    </row>
    <row r="42" spans="5:20" x14ac:dyDescent="0.25">
      <c r="E42" s="72">
        <v>5</v>
      </c>
      <c r="F42" s="72"/>
      <c r="G42" s="72"/>
      <c r="H42" s="72"/>
      <c r="I42" s="72"/>
      <c r="J42" s="72"/>
      <c r="K42" s="72"/>
      <c r="L42" s="72"/>
      <c r="M42" s="16"/>
      <c r="N42" s="22">
        <f>IF(E42&lt;0,"0",IF(E42&gt;1024,"1024",ROUND(E42,0)))</f>
        <v>5</v>
      </c>
      <c r="O42" s="16"/>
      <c r="P42" s="22">
        <f>N42</f>
        <v>5</v>
      </c>
      <c r="Q42" s="2"/>
      <c r="R42" s="2"/>
      <c r="S42" s="2"/>
      <c r="T42" s="1"/>
    </row>
    <row r="43" spans="5:20" x14ac:dyDescent="0.25">
      <c r="E43" s="57" t="s">
        <v>180</v>
      </c>
      <c r="F43" s="57"/>
      <c r="G43" s="57"/>
      <c r="H43" s="57"/>
      <c r="I43" s="57"/>
      <c r="J43" s="57"/>
      <c r="K43" s="57"/>
      <c r="L43" s="57"/>
      <c r="M43" s="11"/>
      <c r="P43" s="11"/>
      <c r="Q43" s="2" t="s">
        <v>47</v>
      </c>
      <c r="R43" s="13">
        <f>(P45*4)+((_xlfn.BITAND(P42,768)/2^8))</f>
        <v>8</v>
      </c>
      <c r="S43" s="13" t="str">
        <f>IF(R43&lt;16,CONCATENATE("0x0",(DEC2HEX(R43))),CONCATENATE("0x",(DEC2HEX(R43))))</f>
        <v>0x08</v>
      </c>
      <c r="T43" s="5" t="str">
        <f>DEC2BIN(R43,8)</f>
        <v>00001000</v>
      </c>
    </row>
    <row r="44" spans="5:20" x14ac:dyDescent="0.25">
      <c r="E44" s="86" t="s">
        <v>82</v>
      </c>
      <c r="F44" s="87"/>
      <c r="G44" s="87"/>
      <c r="H44" s="88"/>
      <c r="I44" s="86" t="s">
        <v>179</v>
      </c>
      <c r="J44" s="87"/>
      <c r="K44" s="87"/>
      <c r="L44" s="88"/>
      <c r="M44" s="11"/>
      <c r="P44" s="11"/>
      <c r="Q44" s="2"/>
      <c r="R44" s="2"/>
      <c r="S44" s="2"/>
      <c r="T44" s="1"/>
    </row>
    <row r="45" spans="5:20" x14ac:dyDescent="0.25">
      <c r="E45" s="75">
        <v>1</v>
      </c>
      <c r="F45" s="75"/>
      <c r="G45" s="75"/>
      <c r="H45" s="75"/>
      <c r="I45" s="75">
        <v>0</v>
      </c>
      <c r="J45" s="75"/>
      <c r="K45" s="75"/>
      <c r="L45" s="75"/>
      <c r="M45" s="16"/>
      <c r="N45" s="22" t="str">
        <f>IF(((E45*2 +I45) = 3),"min",IF((E45*2+I45 = 2), "s",IF((E45*2+I45=1),"ms","us")))</f>
        <v>s</v>
      </c>
      <c r="O45" s="16"/>
      <c r="P45" s="22">
        <f>IF(N45="min",3,IF(N45="s",2,IF(N45="ms",1,0)))</f>
        <v>2</v>
      </c>
      <c r="Q45" s="16"/>
      <c r="R45" s="16"/>
      <c r="S45" s="16"/>
      <c r="T45" s="1"/>
    </row>
    <row r="46" spans="5:20" x14ac:dyDescent="0.25">
      <c r="E46" s="57" t="s">
        <v>49</v>
      </c>
      <c r="F46" s="57"/>
      <c r="G46" s="57"/>
      <c r="H46" s="57"/>
      <c r="I46" s="57"/>
      <c r="J46" s="57"/>
      <c r="K46" s="57"/>
      <c r="L46" s="57"/>
      <c r="M46" s="11"/>
      <c r="P46" s="11"/>
      <c r="Q46" s="24" t="s">
        <v>48</v>
      </c>
      <c r="R46" s="26">
        <f>_xlfn.BITAND(P47,255)</f>
        <v>100</v>
      </c>
      <c r="S46" s="26" t="str">
        <f>IF(R46&lt;16,CONCATENATE("0x0",(DEC2HEX(R46))),CONCATENATE("0x",(DEC2HEX(R46))))</f>
        <v>0x64</v>
      </c>
      <c r="T46" s="5" t="str">
        <f>DEC2BIN(R46,8)</f>
        <v>01100100</v>
      </c>
    </row>
    <row r="47" spans="5:20" x14ac:dyDescent="0.25">
      <c r="E47" s="97">
        <v>100</v>
      </c>
      <c r="F47" s="97"/>
      <c r="G47" s="97"/>
      <c r="H47" s="97"/>
      <c r="I47" s="97"/>
      <c r="J47" s="97"/>
      <c r="K47" s="97"/>
      <c r="L47" s="97"/>
      <c r="M47" s="16"/>
      <c r="N47" s="22">
        <f>IF(E47&lt;0, "0", IF(E47 &gt; 511, "511",ROUND(E47,0)))</f>
        <v>100</v>
      </c>
      <c r="O47" s="22" t="str">
        <f>N49</f>
        <v>ms</v>
      </c>
      <c r="P47" s="22">
        <f>N47</f>
        <v>100</v>
      </c>
      <c r="Q47" s="2"/>
      <c r="R47" s="2"/>
      <c r="S47" s="2"/>
      <c r="T47" s="1"/>
    </row>
    <row r="48" spans="5:20" x14ac:dyDescent="0.25">
      <c r="E48" s="98" t="s">
        <v>50</v>
      </c>
      <c r="F48" s="98"/>
      <c r="G48" s="98"/>
      <c r="H48" s="98"/>
      <c r="I48" s="98"/>
      <c r="J48" s="98"/>
      <c r="K48" s="98"/>
      <c r="L48" s="98"/>
      <c r="M48" s="11"/>
      <c r="P48" s="11"/>
      <c r="Q48" s="2" t="s">
        <v>51</v>
      </c>
      <c r="R48" s="13">
        <f>(P49*2)+((_xlfn.BITAND(P47,256)/2^8))</f>
        <v>2</v>
      </c>
      <c r="S48" s="13" t="str">
        <f>IF(R48&lt;16,CONCATENATE("0x0",(DEC2HEX(R48))),CONCATENATE("0x",(DEC2HEX(R48))))</f>
        <v>0x02</v>
      </c>
      <c r="T48" s="5" t="str">
        <f>DEC2BIN(R48,8)</f>
        <v>00000010</v>
      </c>
    </row>
    <row r="49" spans="5:20" x14ac:dyDescent="0.25">
      <c r="E49" s="72">
        <v>1</v>
      </c>
      <c r="F49" s="72"/>
      <c r="G49" s="72"/>
      <c r="H49" s="72"/>
      <c r="I49" s="72"/>
      <c r="J49" s="72"/>
      <c r="K49" s="72"/>
      <c r="L49" s="72"/>
      <c r="M49" s="20"/>
      <c r="N49" s="13" t="str">
        <f>IF((E49=1),"ms","us")</f>
        <v>ms</v>
      </c>
      <c r="O49" s="2"/>
      <c r="P49" s="13">
        <f>IF(N49="ms",1,0)</f>
        <v>1</v>
      </c>
      <c r="Q49" s="2"/>
      <c r="R49" s="2"/>
      <c r="S49" s="2"/>
      <c r="T49" s="1"/>
    </row>
    <row r="50" spans="5:20" x14ac:dyDescent="0.25">
      <c r="E50" s="99" t="s">
        <v>52</v>
      </c>
      <c r="F50" s="99"/>
      <c r="G50" s="99"/>
      <c r="H50" s="99"/>
      <c r="I50" s="99"/>
      <c r="J50" s="99"/>
      <c r="K50" s="99"/>
      <c r="L50" s="99"/>
      <c r="P50" s="1"/>
      <c r="Q50" s="1"/>
      <c r="R50" s="1"/>
      <c r="S50" s="1"/>
      <c r="T50" s="1"/>
    </row>
    <row r="51" spans="5:20" x14ac:dyDescent="0.25">
      <c r="E51" s="100">
        <v>2</v>
      </c>
      <c r="F51" s="100"/>
      <c r="G51" s="100"/>
      <c r="H51" s="100"/>
      <c r="I51" s="100"/>
      <c r="J51" s="100"/>
      <c r="K51" s="100"/>
      <c r="L51" s="100"/>
      <c r="M51" s="16"/>
      <c r="N51" s="22">
        <f>IF(E51&lt;0, "0", IF(E51 &gt; 1024, "1024",ROUND(E51,0)))</f>
        <v>2</v>
      </c>
      <c r="O51" s="22" t="str">
        <f>N53</f>
        <v>s</v>
      </c>
      <c r="P51" s="23">
        <f>N51</f>
        <v>2</v>
      </c>
      <c r="Q51" s="2" t="s">
        <v>53</v>
      </c>
      <c r="R51" s="13">
        <f>_xlfn.BITAND(P51,255)</f>
        <v>2</v>
      </c>
      <c r="S51" s="13" t="str">
        <f>IF(R51&lt;16,CONCATENATE("0x0",(DEC2HEX(R51))),CONCATENATE("0x",(DEC2HEX(R51))))</f>
        <v>0x02</v>
      </c>
      <c r="T51" s="5" t="str">
        <f>DEC2BIN(R51,8)</f>
        <v>00000010</v>
      </c>
    </row>
    <row r="52" spans="5:20" x14ac:dyDescent="0.25">
      <c r="E52" s="57" t="s">
        <v>54</v>
      </c>
      <c r="F52" s="57"/>
      <c r="G52" s="57"/>
      <c r="H52" s="57"/>
      <c r="I52" s="57"/>
      <c r="J52" s="57"/>
      <c r="K52" s="57"/>
      <c r="L52" s="57"/>
      <c r="M52" s="1"/>
      <c r="P52" s="1"/>
      <c r="Q52" s="2"/>
      <c r="R52" s="2"/>
      <c r="S52" s="2"/>
      <c r="T52" s="1"/>
    </row>
    <row r="53" spans="5:20" x14ac:dyDescent="0.25">
      <c r="E53" s="92" t="s">
        <v>55</v>
      </c>
      <c r="F53" s="93"/>
      <c r="G53" s="93"/>
      <c r="H53" s="57" t="s">
        <v>56</v>
      </c>
      <c r="I53" s="57"/>
      <c r="J53" s="57"/>
      <c r="K53" s="86" t="s">
        <v>10</v>
      </c>
      <c r="L53" s="88"/>
      <c r="M53" s="20" t="s">
        <v>10</v>
      </c>
      <c r="N53" s="13" t="str">
        <f>IF(((K54*2 +L54) = 3),"min",IF((K54*2+L54 = 2), "s",IF((K54*2+L54=1),"ms","us")))</f>
        <v>s</v>
      </c>
      <c r="O53" s="2"/>
      <c r="P53" s="1"/>
      <c r="Q53" s="2" t="s">
        <v>59</v>
      </c>
      <c r="R53" s="13">
        <f>(P54*4)+((_xlfn.BITAND(P51,768)/2^8))</f>
        <v>88</v>
      </c>
      <c r="S53" s="13" t="str">
        <f>IF(R53&lt;16,CONCATENATE("0x0",(DEC2HEX(R53))),CONCATENATE("0x",(DEC2HEX(R53))))</f>
        <v>0x58</v>
      </c>
      <c r="T53" s="5" t="str">
        <f>DEC2BIN(R53,8)</f>
        <v>01011000</v>
      </c>
    </row>
    <row r="54" spans="5:20" x14ac:dyDescent="0.25">
      <c r="E54" s="94"/>
      <c r="F54" s="95"/>
      <c r="G54" s="96"/>
      <c r="H54" s="12">
        <v>1</v>
      </c>
      <c r="I54" s="12">
        <v>0</v>
      </c>
      <c r="J54" s="12">
        <v>1</v>
      </c>
      <c r="K54" s="12">
        <v>1</v>
      </c>
      <c r="L54" s="12">
        <v>0</v>
      </c>
      <c r="M54" s="20" t="s">
        <v>57</v>
      </c>
      <c r="N54" s="13">
        <f>IF(AND(H54 = 0,I54=0,J54=0), 4,IF(AND(H54 = 0,I54=0,J54=1),8,IF(AND(H54 = 0,I54=1,J54=0),16,IF(AND(H54 = 0,I54=1,J54=1),24,IF(AND(H54 = 1,I54=0,J54=0),32,IF(AND(H54 = 1,I54=0,J54=1),48,IF(AND(H54 = 1,I54=1,J54=0),64,IF(AND(H54 = 1,I54=1,J54=1),96,"false"))))))))</f>
        <v>48</v>
      </c>
      <c r="O54" s="2" t="s">
        <v>58</v>
      </c>
      <c r="P54" s="5">
        <f>BIN2DEC(CONCATENATE(H54,I54,J54,K54,L54))</f>
        <v>22</v>
      </c>
      <c r="Q54" s="2"/>
      <c r="R54" s="2"/>
      <c r="S54" s="2"/>
      <c r="T54" s="1"/>
    </row>
    <row r="55" spans="5:20" x14ac:dyDescent="0.25">
      <c r="E55" s="57" t="s">
        <v>60</v>
      </c>
      <c r="F55" s="57"/>
      <c r="G55" s="57"/>
      <c r="H55" s="57"/>
      <c r="I55" s="57"/>
      <c r="J55" s="57"/>
      <c r="K55" s="57"/>
      <c r="L55" s="57"/>
      <c r="P55" s="1"/>
      <c r="Q55" s="1"/>
      <c r="R55" s="1"/>
      <c r="S55" s="1"/>
      <c r="T55" s="1"/>
    </row>
    <row r="56" spans="5:20" x14ac:dyDescent="0.25">
      <c r="E56" s="72">
        <v>5</v>
      </c>
      <c r="F56" s="72"/>
      <c r="G56" s="72"/>
      <c r="H56" s="72"/>
      <c r="I56" s="72"/>
      <c r="J56" s="72"/>
      <c r="K56" s="72"/>
      <c r="L56" s="72"/>
      <c r="M56" s="16"/>
      <c r="N56" s="22">
        <f>IF(E56&lt;0, "0", IF(E56 &gt; 1024, "1024",ROUND(E56,0)))</f>
        <v>5</v>
      </c>
      <c r="O56" s="22" t="str">
        <f>N58</f>
        <v>s</v>
      </c>
      <c r="P56" s="23">
        <f>N56</f>
        <v>5</v>
      </c>
      <c r="Q56" s="2" t="s">
        <v>64</v>
      </c>
      <c r="R56" s="13">
        <f>_xlfn.BITAND(P56,255)</f>
        <v>5</v>
      </c>
      <c r="S56" s="13" t="str">
        <f>IF(R56&lt;16,CONCATENATE("0x0",(DEC2HEX(R56))),CONCATENATE("0x",(DEC2HEX(R56))))</f>
        <v>0x05</v>
      </c>
      <c r="T56" s="5" t="str">
        <f>DEC2BIN(R56,8)</f>
        <v>00000101</v>
      </c>
    </row>
    <row r="57" spans="5:20" x14ac:dyDescent="0.25">
      <c r="E57" s="57" t="s">
        <v>61</v>
      </c>
      <c r="F57" s="57"/>
      <c r="G57" s="57"/>
      <c r="H57" s="57"/>
      <c r="I57" s="57"/>
      <c r="J57" s="57"/>
      <c r="K57" s="57"/>
      <c r="L57" s="57"/>
      <c r="M57" s="1"/>
      <c r="P57" s="1"/>
      <c r="Q57" s="2"/>
      <c r="R57" s="2"/>
      <c r="S57" s="2"/>
      <c r="T57" s="1"/>
    </row>
    <row r="58" spans="5:20" x14ac:dyDescent="0.25">
      <c r="E58" s="92" t="s">
        <v>55</v>
      </c>
      <c r="F58" s="93"/>
      <c r="G58" s="93"/>
      <c r="H58" s="57" t="s">
        <v>56</v>
      </c>
      <c r="I58" s="57"/>
      <c r="J58" s="57"/>
      <c r="K58" s="86" t="s">
        <v>10</v>
      </c>
      <c r="L58" s="88"/>
      <c r="M58" s="20" t="s">
        <v>10</v>
      </c>
      <c r="N58" s="13" t="str">
        <f>IF(((K59*2 +L59) = 3),"min",IF((K59*2+L59 = 2), "s",IF((K59*2+L59=1),"ms","us")))</f>
        <v>s</v>
      </c>
      <c r="O58" s="2"/>
      <c r="P58" s="1"/>
      <c r="Q58" s="2" t="s">
        <v>65</v>
      </c>
      <c r="R58" s="13">
        <f>(P59*4)+((_xlfn.BITAND(P56,768)/2^8))</f>
        <v>104</v>
      </c>
      <c r="S58" s="13" t="str">
        <f>IF(R58&lt;16,CONCATENATE("0x0",(DEC2HEX(R58))),CONCATENATE("0x",(DEC2HEX(R58))))</f>
        <v>0x68</v>
      </c>
      <c r="T58" s="5" t="str">
        <f>DEC2BIN(R58,8)</f>
        <v>01101000</v>
      </c>
    </row>
    <row r="59" spans="5:20" x14ac:dyDescent="0.25">
      <c r="E59" s="94"/>
      <c r="F59" s="95"/>
      <c r="G59" s="96"/>
      <c r="H59" s="12">
        <v>1</v>
      </c>
      <c r="I59" s="12">
        <v>1</v>
      </c>
      <c r="J59" s="12">
        <v>0</v>
      </c>
      <c r="K59" s="12">
        <v>1</v>
      </c>
      <c r="L59" s="12">
        <v>0</v>
      </c>
      <c r="M59" s="20" t="s">
        <v>57</v>
      </c>
      <c r="N59" s="13">
        <f>IF(AND(H59 = 0,I59=0,J59=0), 1,IF(AND(H59 = 0,I59=0,J59=1),2,IF(AND(H59 = 0,I59=1,J59=0),4,IF(AND(H59 = 0,I59=1,J59=1),6,IF(AND(H59 = 1,I59=0,J59=0),8,IF(AND(H59 = 1,I59=0,J59=1),12,IF(AND(H59 = 1,I59=1,J59=0),16,IF(AND(H59 = 1,I59=1,J59=1),24,"false"))))))))</f>
        <v>16</v>
      </c>
      <c r="O59" s="2" t="s">
        <v>58</v>
      </c>
      <c r="P59" s="5">
        <f>BIN2DEC(CONCATENATE(H59,I59,J59,K59,L59))</f>
        <v>26</v>
      </c>
      <c r="Q59" s="2"/>
      <c r="R59" s="2"/>
      <c r="S59" s="2"/>
      <c r="T59" s="1"/>
    </row>
    <row r="60" spans="5:20" x14ac:dyDescent="0.25">
      <c r="E60" s="57" t="s">
        <v>62</v>
      </c>
      <c r="F60" s="57"/>
      <c r="G60" s="57"/>
      <c r="H60" s="57"/>
      <c r="I60" s="57"/>
      <c r="J60" s="57"/>
      <c r="K60" s="57"/>
      <c r="L60" s="57"/>
      <c r="P60" s="1"/>
      <c r="Q60" s="1"/>
      <c r="R60" s="1"/>
      <c r="S60" s="1"/>
      <c r="T60" s="1"/>
    </row>
    <row r="61" spans="5:20" x14ac:dyDescent="0.25">
      <c r="E61" s="72">
        <v>100</v>
      </c>
      <c r="F61" s="72"/>
      <c r="G61" s="72"/>
      <c r="H61" s="72"/>
      <c r="I61" s="72"/>
      <c r="J61" s="72"/>
      <c r="K61" s="72"/>
      <c r="L61" s="72"/>
      <c r="M61" s="16"/>
      <c r="N61" s="22">
        <f>IF(E61&lt;0, "0", IF(E61 &gt; 1024, "1024",ROUND(E61,0)))</f>
        <v>100</v>
      </c>
      <c r="O61" s="22" t="str">
        <f>N63</f>
        <v>ms</v>
      </c>
      <c r="P61" s="23">
        <f>N61</f>
        <v>100</v>
      </c>
      <c r="Q61" s="2" t="s">
        <v>66</v>
      </c>
      <c r="R61" s="13">
        <f>_xlfn.BITAND(P61,255)</f>
        <v>100</v>
      </c>
      <c r="S61" s="13" t="str">
        <f>IF(R61&lt;16,CONCATENATE("0x0",(DEC2HEX(R61))),CONCATENATE("0x",(DEC2HEX(R61))))</f>
        <v>0x64</v>
      </c>
      <c r="T61" s="5" t="str">
        <f>DEC2BIN(R61,8)</f>
        <v>01100100</v>
      </c>
    </row>
    <row r="62" spans="5:20" x14ac:dyDescent="0.25">
      <c r="E62" s="57" t="s">
        <v>63</v>
      </c>
      <c r="F62" s="57"/>
      <c r="G62" s="57"/>
      <c r="H62" s="57"/>
      <c r="I62" s="57"/>
      <c r="J62" s="57"/>
      <c r="K62" s="57"/>
      <c r="L62" s="57"/>
      <c r="M62" s="1"/>
      <c r="P62" s="1"/>
      <c r="Q62" s="2"/>
      <c r="R62" s="2"/>
      <c r="S62" s="2"/>
      <c r="T62" s="1"/>
    </row>
    <row r="63" spans="5:20" x14ac:dyDescent="0.25">
      <c r="E63" s="92" t="s">
        <v>55</v>
      </c>
      <c r="F63" s="93"/>
      <c r="G63" s="93"/>
      <c r="H63" s="57" t="s">
        <v>56</v>
      </c>
      <c r="I63" s="57"/>
      <c r="J63" s="57"/>
      <c r="K63" s="86" t="s">
        <v>10</v>
      </c>
      <c r="L63" s="88"/>
      <c r="M63" s="20" t="s">
        <v>10</v>
      </c>
      <c r="N63" s="13" t="str">
        <f>IF(((K64*2 +L64) = 3),"min",IF((K64*2+L64 = 2), "s",IF((K64*2+L64=1),"ms","us")))</f>
        <v>ms</v>
      </c>
      <c r="O63" s="2"/>
      <c r="P63" s="1"/>
      <c r="Q63" s="2" t="s">
        <v>67</v>
      </c>
      <c r="R63" s="13">
        <f>(P64*4)+((_xlfn.BITAND(P61,768)/2^8))</f>
        <v>68</v>
      </c>
      <c r="S63" s="13" t="str">
        <f>IF(R63&lt;16,CONCATENATE("0x0",(DEC2HEX(R63))),CONCATENATE("0x",(DEC2HEX(R63))))</f>
        <v>0x44</v>
      </c>
      <c r="T63" s="5" t="str">
        <f>DEC2BIN(R63,8)</f>
        <v>01000100</v>
      </c>
    </row>
    <row r="64" spans="5:20" x14ac:dyDescent="0.25">
      <c r="E64" s="102"/>
      <c r="F64" s="103"/>
      <c r="G64" s="104"/>
      <c r="H64" s="28">
        <v>1</v>
      </c>
      <c r="I64" s="28">
        <v>0</v>
      </c>
      <c r="J64" s="28">
        <v>0</v>
      </c>
      <c r="K64" s="28">
        <v>0</v>
      </c>
      <c r="L64" s="28">
        <v>1</v>
      </c>
      <c r="M64" s="20" t="s">
        <v>57</v>
      </c>
      <c r="N64" s="13">
        <f>IF(AND(H64 = 0,I64=0,J64=0), 16,IF(AND(H64 = 0,I64=0,J64=1),24,IF(AND(H64 = 0,I64=1,J64=0),32,IF(AND(H64 = 0,I64=1,J64=1),48,IF(AND(H64 = 1,I64=0,J64=0),64,IF(AND(H64 = 1,I64=0,J64=1),96,IF(AND(H64 = 1,I64=1,J64=0),128,IF(AND(H64 = 1,I64=1,J64=1),256,"false"))))))))</f>
        <v>64</v>
      </c>
      <c r="O64" s="2" t="s">
        <v>58</v>
      </c>
      <c r="P64" s="5">
        <f>BIN2DEC(CONCATENATE(H64,I64,J64,K64,L64))</f>
        <v>17</v>
      </c>
      <c r="Q64" s="2"/>
      <c r="R64" s="2"/>
      <c r="S64" s="2"/>
      <c r="T64" s="1"/>
    </row>
    <row r="65" spans="5:20" x14ac:dyDescent="0.25">
      <c r="E65" s="57" t="s">
        <v>68</v>
      </c>
      <c r="F65" s="57"/>
      <c r="G65" s="57"/>
      <c r="H65" s="57"/>
      <c r="I65" s="57"/>
      <c r="J65" s="57"/>
      <c r="K65" s="57"/>
      <c r="L65" s="57"/>
      <c r="M65" s="1"/>
      <c r="P65" s="1"/>
      <c r="Q65" s="2"/>
      <c r="R65" s="2"/>
      <c r="S65" s="2"/>
      <c r="T65" s="1"/>
    </row>
    <row r="66" spans="5:20" x14ac:dyDescent="0.25">
      <c r="E66" s="75">
        <v>3.3</v>
      </c>
      <c r="F66" s="75"/>
      <c r="G66" s="75"/>
      <c r="H66" s="75"/>
      <c r="I66" s="75"/>
      <c r="J66" s="75"/>
      <c r="K66" s="75"/>
      <c r="L66" s="75"/>
      <c r="M66" s="101" t="s">
        <v>5</v>
      </c>
      <c r="N66" s="76">
        <f>(P66*Variables!C1/Variables!C3)*Variables!C2</f>
        <v>3.2996336996337039</v>
      </c>
      <c r="O66" s="73" t="s">
        <v>5</v>
      </c>
      <c r="P66" s="76">
        <f>(IF(E66&lt;0,0,IF(E66&gt;4.8,4095,ROUND((E66/Variables!F3),0))))</f>
        <v>2815</v>
      </c>
      <c r="Q66" s="20" t="s">
        <v>69</v>
      </c>
      <c r="R66" s="13">
        <f>_xlfn.BITAND(P66,255)</f>
        <v>255</v>
      </c>
      <c r="S66" s="13" t="str">
        <f>IF(R66&lt;16,CONCATENATE("0x0",(DEC2HEX(R66))),CONCATENATE("0x",(DEC2HEX(R66))))</f>
        <v>0xFF</v>
      </c>
      <c r="T66" s="5" t="str">
        <f>DEC2BIN(R66,8)</f>
        <v>11111111</v>
      </c>
    </row>
    <row r="67" spans="5:20" x14ac:dyDescent="0.25">
      <c r="E67" s="75"/>
      <c r="F67" s="75"/>
      <c r="G67" s="75"/>
      <c r="H67" s="75"/>
      <c r="I67" s="75"/>
      <c r="J67" s="75"/>
      <c r="K67" s="75"/>
      <c r="L67" s="75"/>
      <c r="M67" s="101"/>
      <c r="N67" s="76"/>
      <c r="O67" s="73"/>
      <c r="P67" s="76"/>
      <c r="Q67" s="2"/>
      <c r="R67" s="2"/>
      <c r="S67" s="2"/>
      <c r="T67" s="1"/>
    </row>
    <row r="68" spans="5:20" x14ac:dyDescent="0.25">
      <c r="E68" s="75"/>
      <c r="F68" s="75"/>
      <c r="G68" s="75"/>
      <c r="H68" s="75"/>
      <c r="I68" s="75"/>
      <c r="J68" s="75"/>
      <c r="K68" s="75"/>
      <c r="L68" s="75"/>
      <c r="M68" s="101"/>
      <c r="N68" s="76"/>
      <c r="O68" s="73"/>
      <c r="P68" s="76"/>
      <c r="Q68" s="2" t="s">
        <v>70</v>
      </c>
      <c r="R68" s="13">
        <f>((_xlfn.BITAND(P66,3840))/(2^8))</f>
        <v>10</v>
      </c>
      <c r="S68" s="13" t="str">
        <f>IF(R68&lt;16,CONCATENATE("0x0",(DEC2HEX(R68))),CONCATENATE("0x",(DEC2HEX(R68))))</f>
        <v>0x0A</v>
      </c>
      <c r="T68" s="5" t="str">
        <f>DEC2BIN(R68,8)</f>
        <v>00001010</v>
      </c>
    </row>
    <row r="69" spans="5:20" x14ac:dyDescent="0.25">
      <c r="E69" s="57" t="s">
        <v>71</v>
      </c>
      <c r="F69" s="57"/>
      <c r="G69" s="57"/>
      <c r="H69" s="57"/>
      <c r="I69" s="57"/>
      <c r="J69" s="57"/>
      <c r="K69" s="57"/>
      <c r="L69" s="57"/>
      <c r="M69" s="1"/>
      <c r="P69" s="1"/>
      <c r="Q69" s="2"/>
      <c r="R69" s="2"/>
      <c r="S69" s="2"/>
      <c r="T69" s="1"/>
    </row>
    <row r="70" spans="5:20" x14ac:dyDescent="0.25">
      <c r="E70" s="75">
        <v>4.1500000000000004</v>
      </c>
      <c r="F70" s="75"/>
      <c r="G70" s="75"/>
      <c r="H70" s="75"/>
      <c r="I70" s="75"/>
      <c r="J70" s="75"/>
      <c r="K70" s="75"/>
      <c r="L70" s="75"/>
      <c r="M70" s="101" t="s">
        <v>5</v>
      </c>
      <c r="N70" s="76">
        <f>(P70*Variables!C1/Variables!C3)*Variables!C2</f>
        <v>4.1494505494505551</v>
      </c>
      <c r="O70" s="73" t="s">
        <v>5</v>
      </c>
      <c r="P70" s="76">
        <f>(IF(E70&lt;0,0,IF(E70&gt;4.8,4095,ROUND((E70/Variables!F3),0))))</f>
        <v>3540</v>
      </c>
      <c r="Q70" s="20" t="s">
        <v>72</v>
      </c>
      <c r="R70" s="13">
        <f>_xlfn.BITAND(P70,255)</f>
        <v>212</v>
      </c>
      <c r="S70" s="13" t="str">
        <f>IF(R70&lt;16,CONCATENATE("0x0",(DEC2HEX(R70))),CONCATENATE("0x",(DEC2HEX(R70))))</f>
        <v>0xD4</v>
      </c>
      <c r="T70" s="5" t="str">
        <f>DEC2BIN(R70,8)</f>
        <v>11010100</v>
      </c>
    </row>
    <row r="71" spans="5:20" x14ac:dyDescent="0.25">
      <c r="E71" s="75"/>
      <c r="F71" s="75"/>
      <c r="G71" s="75"/>
      <c r="H71" s="75"/>
      <c r="I71" s="75"/>
      <c r="J71" s="75"/>
      <c r="K71" s="75"/>
      <c r="L71" s="75"/>
      <c r="M71" s="101"/>
      <c r="N71" s="76"/>
      <c r="O71" s="73"/>
      <c r="P71" s="76"/>
      <c r="Q71" s="2"/>
      <c r="R71" s="2"/>
      <c r="S71" s="2"/>
      <c r="T71" s="1"/>
    </row>
    <row r="72" spans="5:20" x14ac:dyDescent="0.25">
      <c r="E72" s="75"/>
      <c r="F72" s="75"/>
      <c r="G72" s="75"/>
      <c r="H72" s="75"/>
      <c r="I72" s="75"/>
      <c r="J72" s="75"/>
      <c r="K72" s="75"/>
      <c r="L72" s="75"/>
      <c r="M72" s="101"/>
      <c r="N72" s="76"/>
      <c r="O72" s="73"/>
      <c r="P72" s="76"/>
      <c r="Q72" s="2" t="s">
        <v>73</v>
      </c>
      <c r="R72" s="13">
        <f>((_xlfn.BITAND(P70,3840))/(2^8))</f>
        <v>13</v>
      </c>
      <c r="S72" s="13" t="str">
        <f>IF(R72&lt;16,CONCATENATE("0x0",(DEC2HEX(R72))),CONCATENATE("0x",(DEC2HEX(R72))))</f>
        <v>0x0D</v>
      </c>
      <c r="T72" s="5" t="str">
        <f>DEC2BIN(R72,8)</f>
        <v>00001101</v>
      </c>
    </row>
    <row r="73" spans="5:20" x14ac:dyDescent="0.25">
      <c r="E73" s="57" t="s">
        <v>74</v>
      </c>
      <c r="F73" s="57"/>
      <c r="G73" s="57"/>
      <c r="H73" s="57"/>
      <c r="I73" s="57"/>
      <c r="J73" s="57"/>
      <c r="K73" s="57"/>
      <c r="L73" s="57"/>
      <c r="M73" s="1"/>
      <c r="P73" s="1"/>
      <c r="Q73" s="2"/>
      <c r="R73" s="2"/>
      <c r="S73" s="2"/>
      <c r="T73" s="1"/>
    </row>
    <row r="74" spans="5:20" x14ac:dyDescent="0.25">
      <c r="E74" s="75">
        <v>0.02</v>
      </c>
      <c r="F74" s="75"/>
      <c r="G74" s="75"/>
      <c r="H74" s="75"/>
      <c r="I74" s="75"/>
      <c r="J74" s="75"/>
      <c r="K74" s="75"/>
      <c r="L74" s="75"/>
      <c r="M74" s="101" t="s">
        <v>5</v>
      </c>
      <c r="N74" s="76">
        <f>(P74*Variables!C1/Variables!C3)*Variables!C2</f>
        <v>1.9926739926739951E-2</v>
      </c>
      <c r="O74" s="73" t="s">
        <v>5</v>
      </c>
      <c r="P74" s="76">
        <f>(IF(E74&lt;0,0,IF(E74&gt;4.8,4095,ROUND((E74/Variables!F3),0))))</f>
        <v>17</v>
      </c>
      <c r="Q74" s="20" t="s">
        <v>75</v>
      </c>
      <c r="R74" s="13">
        <f>_xlfn.BITAND(P74,255)</f>
        <v>17</v>
      </c>
      <c r="S74" s="13" t="str">
        <f>IF(R74&lt;16,CONCATENATE("0x0",(DEC2HEX(R74))),CONCATENATE("0x",(DEC2HEX(R74))))</f>
        <v>0x11</v>
      </c>
      <c r="T74" s="5" t="str">
        <f>DEC2BIN(R74,8)</f>
        <v>00010001</v>
      </c>
    </row>
    <row r="75" spans="5:20" x14ac:dyDescent="0.25">
      <c r="E75" s="75"/>
      <c r="F75" s="75"/>
      <c r="G75" s="75"/>
      <c r="H75" s="75"/>
      <c r="I75" s="75"/>
      <c r="J75" s="75"/>
      <c r="K75" s="75"/>
      <c r="L75" s="75"/>
      <c r="M75" s="101"/>
      <c r="N75" s="76"/>
      <c r="O75" s="73"/>
      <c r="P75" s="76"/>
      <c r="Q75" s="2"/>
      <c r="R75" s="2"/>
      <c r="S75" s="2"/>
      <c r="T75" s="1"/>
    </row>
    <row r="76" spans="5:20" x14ac:dyDescent="0.25">
      <c r="E76" s="75"/>
      <c r="F76" s="75"/>
      <c r="G76" s="75"/>
      <c r="H76" s="75"/>
      <c r="I76" s="75"/>
      <c r="J76" s="75"/>
      <c r="K76" s="75"/>
      <c r="L76" s="75"/>
      <c r="M76" s="101"/>
      <c r="N76" s="76"/>
      <c r="O76" s="73"/>
      <c r="P76" s="76"/>
      <c r="Q76" s="2" t="s">
        <v>76</v>
      </c>
      <c r="R76" s="13">
        <f>((_xlfn.BITAND(P74,3840))/(2^8))</f>
        <v>0</v>
      </c>
      <c r="S76" s="13" t="str">
        <f>IF(R76&lt;16,CONCATENATE("0x0",(DEC2HEX(R76))),CONCATENATE("0x",(DEC2HEX(R76))))</f>
        <v>0x00</v>
      </c>
      <c r="T76" s="5" t="str">
        <f>DEC2BIN(R76,8)</f>
        <v>00000000</v>
      </c>
    </row>
    <row r="77" spans="5:20" x14ac:dyDescent="0.25">
      <c r="E77" s="57" t="s">
        <v>77</v>
      </c>
      <c r="F77" s="57"/>
      <c r="G77" s="57"/>
      <c r="H77" s="57"/>
      <c r="I77" s="57"/>
      <c r="J77" s="57"/>
      <c r="K77" s="57"/>
      <c r="L77" s="57"/>
      <c r="M77" s="1"/>
      <c r="P77" s="1"/>
      <c r="Q77" s="2"/>
      <c r="R77" s="2"/>
      <c r="S77" s="2"/>
      <c r="T77" s="1"/>
    </row>
    <row r="78" spans="5:20" x14ac:dyDescent="0.25">
      <c r="E78" s="75">
        <v>5</v>
      </c>
      <c r="F78" s="75"/>
      <c r="G78" s="75"/>
      <c r="H78" s="75"/>
      <c r="I78" s="75"/>
      <c r="J78" s="75"/>
      <c r="K78" s="75"/>
      <c r="L78" s="75"/>
      <c r="M78" s="101" t="s">
        <v>5</v>
      </c>
      <c r="N78" s="76">
        <f>(P78*Variables!C1/Variables!C3)*Variables!C2</f>
        <v>4.800000000000006</v>
      </c>
      <c r="O78" s="73" t="s">
        <v>5</v>
      </c>
      <c r="P78" s="76">
        <f>(IF(E78&lt;0,0,IF(E78&gt;4.8,4095,ROUND((E78/Variables!F3),0))))</f>
        <v>4095</v>
      </c>
      <c r="Q78" s="20" t="s">
        <v>78</v>
      </c>
      <c r="R78" s="13">
        <f>_xlfn.BITAND(P78,255)</f>
        <v>255</v>
      </c>
      <c r="S78" s="13" t="str">
        <f>IF(R78&lt;16,CONCATENATE("0x0",(DEC2HEX(R78))),CONCATENATE("0x",(DEC2HEX(R78))))</f>
        <v>0xFF</v>
      </c>
      <c r="T78" s="5" t="str">
        <f>DEC2BIN(R78,8)</f>
        <v>11111111</v>
      </c>
    </row>
    <row r="79" spans="5:20" x14ac:dyDescent="0.25">
      <c r="E79" s="75"/>
      <c r="F79" s="75"/>
      <c r="G79" s="75"/>
      <c r="H79" s="75"/>
      <c r="I79" s="75"/>
      <c r="J79" s="75"/>
      <c r="K79" s="75"/>
      <c r="L79" s="75"/>
      <c r="M79" s="101"/>
      <c r="N79" s="76"/>
      <c r="O79" s="73"/>
      <c r="P79" s="76"/>
      <c r="Q79" s="2"/>
      <c r="R79" s="2"/>
      <c r="S79" s="2"/>
      <c r="T79" s="1"/>
    </row>
    <row r="80" spans="5:20" x14ac:dyDescent="0.25">
      <c r="E80" s="75"/>
      <c r="F80" s="75"/>
      <c r="G80" s="75"/>
      <c r="H80" s="75"/>
      <c r="I80" s="75"/>
      <c r="J80" s="75"/>
      <c r="K80" s="75"/>
      <c r="L80" s="75"/>
      <c r="M80" s="101"/>
      <c r="N80" s="76"/>
      <c r="O80" s="73"/>
      <c r="P80" s="76"/>
      <c r="Q80" s="2" t="s">
        <v>79</v>
      </c>
      <c r="R80" s="13">
        <f>((_xlfn.BITAND(P78,3840))/(2^8))</f>
        <v>15</v>
      </c>
      <c r="S80" s="13" t="str">
        <f>IF(R80&lt;16,CONCATENATE("0x0",(DEC2HEX(R80))),CONCATENATE("0x",(DEC2HEX(R80))))</f>
        <v>0x0F</v>
      </c>
      <c r="T80" s="5" t="str">
        <f>DEC2BIN(R80,8)</f>
        <v>00001111</v>
      </c>
    </row>
    <row r="81" spans="4:20" x14ac:dyDescent="0.25">
      <c r="E81" s="57" t="s">
        <v>80</v>
      </c>
      <c r="F81" s="57"/>
      <c r="G81" s="57"/>
      <c r="H81" s="57"/>
      <c r="I81" s="57"/>
      <c r="J81" s="57"/>
      <c r="K81" s="57"/>
      <c r="L81" s="57"/>
      <c r="M81" s="11"/>
      <c r="P81" s="11"/>
      <c r="Q81" s="24"/>
      <c r="R81" s="2"/>
      <c r="S81" s="2"/>
      <c r="T81" s="1"/>
    </row>
    <row r="82" spans="4:20" x14ac:dyDescent="0.25">
      <c r="E82" s="72">
        <v>2</v>
      </c>
      <c r="F82" s="72"/>
      <c r="G82" s="72"/>
      <c r="H82" s="72"/>
      <c r="I82" s="72"/>
      <c r="J82" s="72"/>
      <c r="K82" s="72"/>
      <c r="L82" s="72"/>
      <c r="M82" s="16"/>
      <c r="N82" s="22">
        <f>IF(E82&lt;0, "0", IF(E82 &gt; 1024, "1024",ROUND(E82,0)))</f>
        <v>2</v>
      </c>
      <c r="O82" s="22" t="str">
        <f>N85</f>
        <v>s</v>
      </c>
      <c r="P82" s="22">
        <f>N82</f>
        <v>2</v>
      </c>
      <c r="Q82" s="2"/>
      <c r="R82" s="2"/>
      <c r="S82" s="2"/>
      <c r="T82" s="1"/>
    </row>
    <row r="83" spans="4:20" x14ac:dyDescent="0.25">
      <c r="E83" s="86" t="s">
        <v>85</v>
      </c>
      <c r="F83" s="87"/>
      <c r="G83" s="87"/>
      <c r="H83" s="87"/>
      <c r="I83" s="87"/>
      <c r="J83" s="87"/>
      <c r="K83" s="87"/>
      <c r="L83" s="88"/>
      <c r="M83" s="11"/>
      <c r="P83" s="11"/>
      <c r="Q83" s="2" t="s">
        <v>83</v>
      </c>
      <c r="R83" s="13">
        <f>_xlfn.BITAND(P82,255)</f>
        <v>2</v>
      </c>
      <c r="S83" s="13" t="str">
        <f>IF(R83&lt;16,CONCATENATE("0x0",(DEC2HEX(R83))),CONCATENATE("0x",(DEC2HEX(R83))))</f>
        <v>0x02</v>
      </c>
      <c r="T83" s="5" t="str">
        <f>DEC2BIN(R83,8)</f>
        <v>00000010</v>
      </c>
    </row>
    <row r="84" spans="4:20" x14ac:dyDescent="0.25">
      <c r="E84" s="86" t="s">
        <v>81</v>
      </c>
      <c r="F84" s="87"/>
      <c r="G84" s="87"/>
      <c r="H84" s="88"/>
      <c r="I84" s="86" t="s">
        <v>181</v>
      </c>
      <c r="J84" s="87"/>
      <c r="K84" s="87"/>
      <c r="L84" s="88"/>
      <c r="M84" s="11"/>
      <c r="P84" s="11"/>
      <c r="Q84" s="2"/>
      <c r="R84" s="2"/>
      <c r="S84" s="2"/>
      <c r="T84" s="1"/>
    </row>
    <row r="85" spans="4:20" x14ac:dyDescent="0.25">
      <c r="E85" s="75">
        <v>1</v>
      </c>
      <c r="F85" s="75"/>
      <c r="G85" s="75"/>
      <c r="H85" s="75"/>
      <c r="I85" s="75">
        <v>0</v>
      </c>
      <c r="J85" s="75"/>
      <c r="K85" s="75"/>
      <c r="L85" s="75"/>
      <c r="M85" s="16"/>
      <c r="N85" s="22" t="str">
        <f>IF(((E85*2 +I85) = 3),"min",IF((E85*2+I85 = 2), "s",IF((E85*2+I85=1),"ms","us")))</f>
        <v>s</v>
      </c>
      <c r="O85" s="16"/>
      <c r="P85" s="22">
        <f>IF(N85="min",3,IF(N85="s",2,IF(N85="ms",1,0)))</f>
        <v>2</v>
      </c>
      <c r="Q85" s="16" t="s">
        <v>84</v>
      </c>
      <c r="R85" s="22">
        <f>(P85*4)+((_xlfn.BITAND(P82,768)/2^8))</f>
        <v>8</v>
      </c>
      <c r="S85" s="22" t="str">
        <f>IF(R85&lt;16,CONCATENATE("0x0",(DEC2HEX(R85))),CONCATENATE("0x",(DEC2HEX(R85))))</f>
        <v>0x08</v>
      </c>
      <c r="T85" s="5" t="str">
        <f>DEC2BIN(R85,8)</f>
        <v>00001000</v>
      </c>
    </row>
    <row r="86" spans="4:20" x14ac:dyDescent="0.25">
      <c r="E86" s="57" t="s">
        <v>86</v>
      </c>
      <c r="F86" s="57"/>
      <c r="G86" s="57"/>
      <c r="H86" s="57"/>
      <c r="I86" s="57"/>
      <c r="J86" s="57"/>
      <c r="K86" s="57"/>
      <c r="L86" s="57"/>
      <c r="M86" s="11"/>
      <c r="P86" s="11"/>
      <c r="Q86" s="24"/>
      <c r="R86" s="2"/>
      <c r="S86" s="2"/>
      <c r="T86" s="1"/>
    </row>
    <row r="87" spans="4:20" x14ac:dyDescent="0.25">
      <c r="E87" s="72">
        <v>2</v>
      </c>
      <c r="F87" s="72"/>
      <c r="G87" s="72"/>
      <c r="H87" s="72"/>
      <c r="I87" s="72"/>
      <c r="J87" s="72"/>
      <c r="K87" s="72"/>
      <c r="L87" s="72"/>
      <c r="M87" s="16"/>
      <c r="N87" s="22">
        <f>IF(E87&lt;0, "0", IF(E87 &gt; 1024, "1024",ROUND(E87,0)))</f>
        <v>2</v>
      </c>
      <c r="O87" s="16"/>
      <c r="P87" s="22">
        <f>N87</f>
        <v>2</v>
      </c>
      <c r="Q87" s="2"/>
      <c r="R87" s="2"/>
      <c r="S87" s="2"/>
      <c r="T87" s="1"/>
    </row>
    <row r="88" spans="4:20" x14ac:dyDescent="0.25">
      <c r="E88" s="86" t="s">
        <v>87</v>
      </c>
      <c r="F88" s="87"/>
      <c r="G88" s="87"/>
      <c r="H88" s="87"/>
      <c r="I88" s="87"/>
      <c r="J88" s="87"/>
      <c r="K88" s="87"/>
      <c r="L88" s="88"/>
      <c r="M88" s="11"/>
      <c r="P88" s="11"/>
      <c r="Q88" s="2" t="s">
        <v>90</v>
      </c>
      <c r="R88" s="13">
        <f>_xlfn.BITAND(P87,255)</f>
        <v>2</v>
      </c>
      <c r="S88" s="13" t="str">
        <f>IF(R88&lt;16,CONCATENATE("0x0",(DEC2HEX(R88))),CONCATENATE("0x",(DEC2HEX(R88))))</f>
        <v>0x02</v>
      </c>
      <c r="T88" s="5" t="str">
        <f>DEC2BIN(R88,8)</f>
        <v>00000010</v>
      </c>
    </row>
    <row r="89" spans="4:20" x14ac:dyDescent="0.25">
      <c r="E89" s="86" t="s">
        <v>183</v>
      </c>
      <c r="F89" s="87"/>
      <c r="G89" s="87"/>
      <c r="H89" s="88"/>
      <c r="I89" s="86" t="s">
        <v>182</v>
      </c>
      <c r="J89" s="87"/>
      <c r="K89" s="87"/>
      <c r="L89" s="88"/>
      <c r="M89" s="11"/>
      <c r="P89" s="11"/>
      <c r="Q89" s="2"/>
      <c r="R89" s="2"/>
      <c r="S89" s="2"/>
      <c r="T89" s="1"/>
    </row>
    <row r="90" spans="4:20" x14ac:dyDescent="0.25">
      <c r="E90" s="75">
        <v>1</v>
      </c>
      <c r="F90" s="75"/>
      <c r="G90" s="75"/>
      <c r="H90" s="75"/>
      <c r="I90" s="75">
        <v>0</v>
      </c>
      <c r="J90" s="75"/>
      <c r="K90" s="75"/>
      <c r="L90" s="75"/>
      <c r="M90" s="16"/>
      <c r="N90" s="22" t="str">
        <f>IF(((E90*2 +I90) = 3),"min",IF((E90*2+I90 = 2), "s",IF((E90*2+I90=1),"ms","us")))</f>
        <v>s</v>
      </c>
      <c r="O90" s="16"/>
      <c r="P90" s="22">
        <f>IF(N90="min",3,IF(N90="s",2,IF(N90="ms",1,0)))</f>
        <v>2</v>
      </c>
      <c r="Q90" s="16" t="s">
        <v>91</v>
      </c>
      <c r="R90" s="22">
        <f>(P90*4)+((_xlfn.BITAND(P87,768)/2^8))</f>
        <v>8</v>
      </c>
      <c r="S90" s="22" t="str">
        <f>IF(R90&lt;16,CONCATENATE("0x0",(DEC2HEX(R90))),CONCATENATE("0x",(DEC2HEX(R90))))</f>
        <v>0x08</v>
      </c>
      <c r="T90" s="5" t="str">
        <f>DEC2BIN(R90,8)</f>
        <v>00001000</v>
      </c>
    </row>
    <row r="91" spans="4:20" x14ac:dyDescent="0.25">
      <c r="E91" s="73" t="s">
        <v>89</v>
      </c>
      <c r="F91" s="73"/>
      <c r="G91" s="73"/>
      <c r="H91" s="73"/>
      <c r="I91" s="73"/>
      <c r="J91" s="73"/>
      <c r="K91" s="73"/>
      <c r="L91" s="73"/>
      <c r="M91" s="1"/>
      <c r="P91" s="1"/>
      <c r="Q91" s="2"/>
      <c r="R91" s="2"/>
      <c r="S91" s="2"/>
      <c r="T91" s="1"/>
    </row>
    <row r="92" spans="4:20" x14ac:dyDescent="0.25">
      <c r="E92" s="75">
        <f>0.6453*2</f>
        <v>1.2906</v>
      </c>
      <c r="F92" s="75"/>
      <c r="G92" s="75"/>
      <c r="H92" s="75"/>
      <c r="I92" s="75"/>
      <c r="J92" s="75"/>
      <c r="K92" s="75"/>
      <c r="L92" s="75"/>
      <c r="M92" s="101" t="s">
        <v>5</v>
      </c>
      <c r="N92" s="76">
        <f>(P92*Variables!C1/Variables!C3)</f>
        <v>1.2905494505494506</v>
      </c>
      <c r="O92" s="101" t="s">
        <v>5</v>
      </c>
      <c r="P92" s="76">
        <f>(IF(E92&lt;0,0,IF(E92&gt;1.8,4095,ROUND(((E92*4095)/1.8),0))))</f>
        <v>2936</v>
      </c>
      <c r="Q92" s="2" t="s">
        <v>92</v>
      </c>
      <c r="R92" s="13">
        <f>_xlfn.BITAND(P92,255)</f>
        <v>120</v>
      </c>
      <c r="S92" s="13" t="str">
        <f>IF(R92&lt;16,CONCATENATE("0x0",(DEC2HEX(R92))),CONCATENATE("0x",(DEC2HEX(R92))))</f>
        <v>0x78</v>
      </c>
      <c r="T92" s="5" t="str">
        <f>DEC2BIN(R92,8)</f>
        <v>01111000</v>
      </c>
    </row>
    <row r="93" spans="4:20" x14ac:dyDescent="0.25">
      <c r="D93" t="s">
        <v>202</v>
      </c>
      <c r="E93" s="75"/>
      <c r="F93" s="75"/>
      <c r="G93" s="75"/>
      <c r="H93" s="75"/>
      <c r="I93" s="75"/>
      <c r="J93" s="75"/>
      <c r="K93" s="75"/>
      <c r="L93" s="75"/>
      <c r="M93" s="101"/>
      <c r="N93" s="76"/>
      <c r="O93" s="101"/>
      <c r="P93" s="76"/>
      <c r="Q93" s="2"/>
      <c r="R93" s="2"/>
      <c r="S93" s="2"/>
      <c r="T93" s="2"/>
    </row>
    <row r="94" spans="4:20" x14ac:dyDescent="0.25">
      <c r="E94" s="75"/>
      <c r="F94" s="75"/>
      <c r="G94" s="75"/>
      <c r="H94" s="75"/>
      <c r="I94" s="75"/>
      <c r="J94" s="75"/>
      <c r="K94" s="75"/>
      <c r="L94" s="75"/>
      <c r="M94" s="101"/>
      <c r="N94" s="76"/>
      <c r="O94" s="101"/>
      <c r="P94" s="76"/>
      <c r="Q94" s="2" t="s">
        <v>93</v>
      </c>
      <c r="R94" s="13">
        <f>((_xlfn.BITAND(P92,3840))/(2^8))</f>
        <v>11</v>
      </c>
      <c r="S94" s="13" t="str">
        <f>IF(R94&lt;16,CONCATENATE("0x0",(DEC2HEX(R94))),CONCATENATE("0x",(DEC2HEX(R94))))</f>
        <v>0x0B</v>
      </c>
      <c r="T94" s="5" t="str">
        <f>DEC2BIN(R94,8)</f>
        <v>00001011</v>
      </c>
    </row>
    <row r="95" spans="4:20" x14ac:dyDescent="0.25">
      <c r="E95" s="73" t="s">
        <v>94</v>
      </c>
      <c r="F95" s="73"/>
      <c r="G95" s="73"/>
      <c r="H95" s="73"/>
      <c r="I95" s="73"/>
      <c r="J95" s="73"/>
      <c r="K95" s="73"/>
      <c r="L95" s="73"/>
      <c r="M95" s="1"/>
      <c r="P95" s="1"/>
      <c r="Q95" s="2"/>
      <c r="R95" s="2"/>
      <c r="S95" s="2"/>
      <c r="T95" s="1"/>
    </row>
    <row r="96" spans="4:20" x14ac:dyDescent="0.25">
      <c r="E96" s="75">
        <f>0.6275*2</f>
        <v>1.2549999999999999</v>
      </c>
      <c r="F96" s="75"/>
      <c r="G96" s="75"/>
      <c r="H96" s="75"/>
      <c r="I96" s="75"/>
      <c r="J96" s="75"/>
      <c r="K96" s="75"/>
      <c r="L96" s="75"/>
      <c r="M96" s="101" t="s">
        <v>5</v>
      </c>
      <c r="N96" s="76">
        <f>(P96*Variables!C1/Variables!C3)</f>
        <v>1.2549450549450549</v>
      </c>
      <c r="O96" s="101" t="s">
        <v>5</v>
      </c>
      <c r="P96" s="76">
        <f>(IF(E96&lt;0,0,IF(E96&gt;1.8,4095,ROUND(((E96*4095)/1.8),0))))</f>
        <v>2855</v>
      </c>
      <c r="Q96" s="2" t="s">
        <v>95</v>
      </c>
      <c r="R96" s="13">
        <f>_xlfn.BITAND(P96,255)</f>
        <v>39</v>
      </c>
      <c r="S96" s="13" t="str">
        <f>IF(R96&lt;16,CONCATENATE("0x0",(DEC2HEX(R96))),CONCATENATE("0x",(DEC2HEX(R96))))</f>
        <v>0x27</v>
      </c>
      <c r="T96" s="5" t="str">
        <f>DEC2BIN(R96,8)</f>
        <v>00100111</v>
      </c>
    </row>
    <row r="97" spans="4:20" x14ac:dyDescent="0.25">
      <c r="D97" t="s">
        <v>203</v>
      </c>
      <c r="E97" s="75"/>
      <c r="F97" s="75"/>
      <c r="G97" s="75"/>
      <c r="H97" s="75"/>
      <c r="I97" s="75"/>
      <c r="J97" s="75"/>
      <c r="K97" s="75"/>
      <c r="L97" s="75"/>
      <c r="M97" s="101"/>
      <c r="N97" s="76"/>
      <c r="O97" s="101"/>
      <c r="P97" s="76"/>
      <c r="Q97" s="2"/>
      <c r="R97" s="1"/>
      <c r="S97" s="1"/>
      <c r="T97" s="1"/>
    </row>
    <row r="98" spans="4:20" x14ac:dyDescent="0.25">
      <c r="E98" s="75"/>
      <c r="F98" s="75"/>
      <c r="G98" s="75"/>
      <c r="H98" s="75"/>
      <c r="I98" s="75"/>
      <c r="J98" s="75"/>
      <c r="K98" s="75"/>
      <c r="L98" s="75"/>
      <c r="M98" s="101"/>
      <c r="N98" s="76"/>
      <c r="O98" s="101"/>
      <c r="P98" s="76"/>
      <c r="Q98" s="2" t="s">
        <v>96</v>
      </c>
      <c r="R98" s="13">
        <f>((_xlfn.BITAND(P96,3840))/(2^8))</f>
        <v>11</v>
      </c>
      <c r="S98" s="13" t="str">
        <f>IF(R98&lt;16,CONCATENATE("0x0",(DEC2HEX(R98))),CONCATENATE("0x",(DEC2HEX(R98))))</f>
        <v>0x0B</v>
      </c>
      <c r="T98" s="5" t="str">
        <f>DEC2BIN(R98,8)</f>
        <v>00001011</v>
      </c>
    </row>
    <row r="99" spans="4:20" x14ac:dyDescent="0.25">
      <c r="E99" s="73" t="s">
        <v>100</v>
      </c>
      <c r="F99" s="73"/>
      <c r="G99" s="73"/>
      <c r="H99" s="73"/>
      <c r="I99" s="73"/>
      <c r="J99" s="73"/>
      <c r="K99" s="73"/>
      <c r="L99" s="73"/>
      <c r="M99" s="1"/>
      <c r="P99" s="1"/>
      <c r="Q99" s="2"/>
      <c r="R99" s="2"/>
      <c r="S99" s="2"/>
      <c r="T99" s="1"/>
    </row>
    <row r="100" spans="4:20" x14ac:dyDescent="0.25">
      <c r="E100" s="75">
        <f>0.3409*2</f>
        <v>0.68179999999999996</v>
      </c>
      <c r="F100" s="75"/>
      <c r="G100" s="75"/>
      <c r="H100" s="75"/>
      <c r="I100" s="75"/>
      <c r="J100" s="75"/>
      <c r="K100" s="75"/>
      <c r="L100" s="75"/>
      <c r="M100" s="101" t="s">
        <v>5</v>
      </c>
      <c r="N100" s="76">
        <f>(P100*Variables!C1/Variables!C3)</f>
        <v>0.68175824175824185</v>
      </c>
      <c r="O100" s="101" t="s">
        <v>5</v>
      </c>
      <c r="P100" s="76">
        <f>(IF(E100&lt;0,0,IF(E100&gt;1.8,4095,ROUND(((E100*4095)/1.8),0))))</f>
        <v>1551</v>
      </c>
      <c r="Q100" s="2" t="s">
        <v>97</v>
      </c>
      <c r="R100" s="13">
        <f>_xlfn.BITAND(P100,255)</f>
        <v>15</v>
      </c>
      <c r="S100" s="13" t="str">
        <f>IF(R100&lt;16,CONCATENATE("0x0",(DEC2HEX(R100))),CONCATENATE("0x",(DEC2HEX(R100))))</f>
        <v>0x0F</v>
      </c>
      <c r="T100" s="5" t="str">
        <f>DEC2BIN(R100,8)</f>
        <v>00001111</v>
      </c>
    </row>
    <row r="101" spans="4:20" x14ac:dyDescent="0.25">
      <c r="D101" t="s">
        <v>204</v>
      </c>
      <c r="E101" s="75"/>
      <c r="F101" s="75"/>
      <c r="G101" s="75"/>
      <c r="H101" s="75"/>
      <c r="I101" s="75"/>
      <c r="J101" s="75"/>
      <c r="K101" s="75"/>
      <c r="L101" s="75"/>
      <c r="M101" s="101"/>
      <c r="N101" s="76"/>
      <c r="O101" s="101"/>
      <c r="P101" s="76"/>
      <c r="Q101" s="2"/>
      <c r="R101" s="1"/>
      <c r="S101" s="1"/>
      <c r="T101" s="1"/>
    </row>
    <row r="102" spans="4:20" x14ac:dyDescent="0.25">
      <c r="E102" s="75"/>
      <c r="F102" s="75"/>
      <c r="G102" s="75"/>
      <c r="H102" s="75"/>
      <c r="I102" s="75"/>
      <c r="J102" s="75"/>
      <c r="K102" s="75"/>
      <c r="L102" s="75"/>
      <c r="M102" s="101"/>
      <c r="N102" s="76"/>
      <c r="O102" s="101"/>
      <c r="P102" s="76"/>
      <c r="Q102" s="2" t="s">
        <v>98</v>
      </c>
      <c r="R102" s="13">
        <f>((_xlfn.BITAND(P100,3840))/(2^8))</f>
        <v>6</v>
      </c>
      <c r="S102" s="13" t="str">
        <f>IF(R102&lt;16,CONCATENATE("0x0",(DEC2HEX(R102))),CONCATENATE("0x",(DEC2HEX(R102))))</f>
        <v>0x06</v>
      </c>
      <c r="T102" s="5" t="str">
        <f>DEC2BIN(R102,8)</f>
        <v>00000110</v>
      </c>
    </row>
    <row r="103" spans="4:20" x14ac:dyDescent="0.25">
      <c r="E103" s="73" t="s">
        <v>101</v>
      </c>
      <c r="F103" s="73"/>
      <c r="G103" s="73"/>
      <c r="H103" s="73"/>
      <c r="I103" s="73"/>
      <c r="J103" s="73"/>
      <c r="K103" s="73"/>
      <c r="L103" s="73"/>
      <c r="M103" s="1"/>
      <c r="P103" s="9"/>
      <c r="Q103" s="19"/>
      <c r="R103" s="19"/>
      <c r="S103" s="2"/>
      <c r="T103" s="1"/>
    </row>
    <row r="104" spans="4:20" x14ac:dyDescent="0.25">
      <c r="E104" s="75">
        <f>0.380481924339651*2</f>
        <v>0.760963848679302</v>
      </c>
      <c r="F104" s="75"/>
      <c r="G104" s="75"/>
      <c r="H104" s="75"/>
      <c r="I104" s="75"/>
      <c r="J104" s="75"/>
      <c r="K104" s="75"/>
      <c r="L104" s="75"/>
      <c r="M104" s="101" t="s">
        <v>5</v>
      </c>
      <c r="N104" s="76">
        <f>(P104*Variables!C1/Variables!C3)</f>
        <v>0.76087912087912091</v>
      </c>
      <c r="O104" s="105" t="s">
        <v>5</v>
      </c>
      <c r="P104" s="76">
        <f>(IF(E104&lt;0,0,IF(E104&gt;1.8,4095,ROUND(((E104*4095)/1.8),0))))</f>
        <v>1731</v>
      </c>
      <c r="Q104" s="2" t="s">
        <v>99</v>
      </c>
      <c r="R104" s="13">
        <f>_xlfn.BITAND(P104,255)</f>
        <v>195</v>
      </c>
      <c r="S104" s="27" t="str">
        <f>IF(R104&lt;16,CONCATENATE("0x0",(DEC2HEX(R104))),CONCATENATE("0x",(DEC2HEX(R104))))</f>
        <v>0xC3</v>
      </c>
      <c r="T104" s="5" t="str">
        <f>DEC2BIN(R104,8)</f>
        <v>11000011</v>
      </c>
    </row>
    <row r="105" spans="4:20" x14ac:dyDescent="0.25">
      <c r="D105" t="s">
        <v>205</v>
      </c>
      <c r="E105" s="75"/>
      <c r="F105" s="75"/>
      <c r="G105" s="75"/>
      <c r="H105" s="75"/>
      <c r="I105" s="75"/>
      <c r="J105" s="75"/>
      <c r="K105" s="75"/>
      <c r="L105" s="75"/>
      <c r="M105" s="101"/>
      <c r="N105" s="76"/>
      <c r="O105" s="105"/>
      <c r="P105" s="76"/>
      <c r="Q105" s="2"/>
      <c r="R105" s="1"/>
      <c r="S105" s="6"/>
      <c r="T105" s="1"/>
    </row>
    <row r="106" spans="4:20" x14ac:dyDescent="0.25">
      <c r="E106" s="75"/>
      <c r="F106" s="75"/>
      <c r="G106" s="75"/>
      <c r="H106" s="75"/>
      <c r="I106" s="75"/>
      <c r="J106" s="75"/>
      <c r="K106" s="75"/>
      <c r="L106" s="75"/>
      <c r="M106" s="101"/>
      <c r="N106" s="76"/>
      <c r="O106" s="105"/>
      <c r="P106" s="76"/>
      <c r="Q106" s="2" t="s">
        <v>105</v>
      </c>
      <c r="R106" s="13">
        <f>((_xlfn.BITAND(P104,3840))/(2^8))</f>
        <v>6</v>
      </c>
      <c r="S106" s="27" t="str">
        <f>IF(R106&lt;16,CONCATENATE("0x0",(DEC2HEX(R106))),CONCATENATE("0x",(DEC2HEX(R106))))</f>
        <v>0x06</v>
      </c>
      <c r="T106" s="5" t="str">
        <f>DEC2BIN(R106,8)</f>
        <v>00000110</v>
      </c>
    </row>
    <row r="107" spans="4:20" x14ac:dyDescent="0.25">
      <c r="E107" s="73" t="s">
        <v>106</v>
      </c>
      <c r="F107" s="73"/>
      <c r="G107" s="73"/>
      <c r="H107" s="73"/>
      <c r="I107" s="73"/>
      <c r="J107" s="73"/>
      <c r="K107" s="73"/>
      <c r="L107" s="73"/>
      <c r="M107" s="1"/>
      <c r="P107" s="9"/>
      <c r="Q107" s="19"/>
      <c r="R107" s="19"/>
      <c r="S107" s="2"/>
      <c r="T107" s="1"/>
    </row>
    <row r="108" spans="4:20" x14ac:dyDescent="0.25">
      <c r="E108" s="75">
        <f>0.2363*2</f>
        <v>0.47260000000000002</v>
      </c>
      <c r="F108" s="75"/>
      <c r="G108" s="75"/>
      <c r="H108" s="75"/>
      <c r="I108" s="75"/>
      <c r="J108" s="75"/>
      <c r="K108" s="75"/>
      <c r="L108" s="75"/>
      <c r="M108" s="101" t="s">
        <v>5</v>
      </c>
      <c r="N108" s="76">
        <f>(P108*Variables!C1/Variables!C3)</f>
        <v>0.47252747252747251</v>
      </c>
      <c r="O108" s="105" t="s">
        <v>5</v>
      </c>
      <c r="P108" s="76">
        <f>(IF(E108&lt;0,0,IF(E108&gt;1.8,4095,ROUND(((E108*4095)/1.8),0))))</f>
        <v>1075</v>
      </c>
      <c r="Q108" s="2" t="s">
        <v>103</v>
      </c>
      <c r="R108" s="13">
        <f>_xlfn.BITAND(P108,255)</f>
        <v>51</v>
      </c>
      <c r="S108" s="27" t="str">
        <f>IF(R108&lt;16,CONCATENATE("0x0",(DEC2HEX(R108))),CONCATENATE("0x",(DEC2HEX(R108))))</f>
        <v>0x33</v>
      </c>
      <c r="T108" s="5" t="str">
        <f>DEC2BIN(R108,8)</f>
        <v>00110011</v>
      </c>
    </row>
    <row r="109" spans="4:20" x14ac:dyDescent="0.25">
      <c r="D109" t="s">
        <v>206</v>
      </c>
      <c r="E109" s="75"/>
      <c r="F109" s="75"/>
      <c r="G109" s="75"/>
      <c r="H109" s="75"/>
      <c r="I109" s="75"/>
      <c r="J109" s="75"/>
      <c r="K109" s="75"/>
      <c r="L109" s="75"/>
      <c r="M109" s="101"/>
      <c r="N109" s="76"/>
      <c r="O109" s="105"/>
      <c r="P109" s="76"/>
      <c r="Q109" s="2"/>
      <c r="R109" s="1"/>
      <c r="S109" s="6"/>
      <c r="T109" s="1"/>
    </row>
    <row r="110" spans="4:20" x14ac:dyDescent="0.25">
      <c r="E110" s="75"/>
      <c r="F110" s="75"/>
      <c r="G110" s="75"/>
      <c r="H110" s="75"/>
      <c r="I110" s="75"/>
      <c r="J110" s="75"/>
      <c r="K110" s="75"/>
      <c r="L110" s="75"/>
      <c r="M110" s="101"/>
      <c r="N110" s="76"/>
      <c r="O110" s="105"/>
      <c r="P110" s="76"/>
      <c r="Q110" s="2" t="s">
        <v>104</v>
      </c>
      <c r="R110" s="13">
        <f>((_xlfn.BITAND(P108,3840))/(2^8))</f>
        <v>4</v>
      </c>
      <c r="S110" s="27" t="str">
        <f>IF(R110&lt;16,CONCATENATE("0x0",(DEC2HEX(R110))),CONCATENATE("0x",(DEC2HEX(R110))))</f>
        <v>0x04</v>
      </c>
      <c r="T110" s="5" t="str">
        <f>DEC2BIN(R110,8)</f>
        <v>00000100</v>
      </c>
    </row>
    <row r="111" spans="4:20" x14ac:dyDescent="0.25">
      <c r="E111" s="73" t="s">
        <v>102</v>
      </c>
      <c r="F111" s="73"/>
      <c r="G111" s="73"/>
      <c r="H111" s="73"/>
      <c r="I111" s="73"/>
      <c r="J111" s="73"/>
      <c r="K111" s="73"/>
      <c r="L111" s="73"/>
      <c r="M111" s="1"/>
      <c r="P111" s="9"/>
      <c r="Q111" s="19"/>
      <c r="R111" s="19"/>
      <c r="S111" s="2"/>
      <c r="T111" s="1"/>
    </row>
    <row r="112" spans="4:20" x14ac:dyDescent="0.25">
      <c r="E112" s="75">
        <f>0.2683*2</f>
        <v>0.53659999999999997</v>
      </c>
      <c r="F112" s="75"/>
      <c r="G112" s="75"/>
      <c r="H112" s="75"/>
      <c r="I112" s="75"/>
      <c r="J112" s="75"/>
      <c r="K112" s="75"/>
      <c r="L112" s="75"/>
      <c r="M112" s="101" t="s">
        <v>5</v>
      </c>
      <c r="N112" s="76">
        <f>(P112*Variables!C1/Variables!C3)</f>
        <v>0.53670329670329675</v>
      </c>
      <c r="O112" s="105" t="s">
        <v>5</v>
      </c>
      <c r="P112" s="76">
        <f>(IF(E112&lt;0,0,IF(E112&gt;1.8,4095,ROUND(((E112*4095)/1.8),0))))</f>
        <v>1221</v>
      </c>
      <c r="Q112" s="2" t="s">
        <v>107</v>
      </c>
      <c r="R112" s="13">
        <f>_xlfn.BITAND(P112,255)</f>
        <v>197</v>
      </c>
      <c r="S112" s="27" t="str">
        <f>IF(R112&lt;16,CONCATENATE("0x0",(DEC2HEX(R112))),CONCATENATE("0x",(DEC2HEX(R112))))</f>
        <v>0xC5</v>
      </c>
      <c r="T112" s="5" t="str">
        <f>DEC2BIN(R112,8)</f>
        <v>11000101</v>
      </c>
    </row>
    <row r="113" spans="4:20" x14ac:dyDescent="0.25">
      <c r="D113" t="s">
        <v>207</v>
      </c>
      <c r="E113" s="75"/>
      <c r="F113" s="75"/>
      <c r="G113" s="75"/>
      <c r="H113" s="75"/>
      <c r="I113" s="75"/>
      <c r="J113" s="75"/>
      <c r="K113" s="75"/>
      <c r="L113" s="75"/>
      <c r="M113" s="101"/>
      <c r="N113" s="76"/>
      <c r="O113" s="105"/>
      <c r="P113" s="76"/>
      <c r="Q113" s="2"/>
      <c r="R113" s="1"/>
      <c r="S113" s="6"/>
      <c r="T113" s="1"/>
    </row>
    <row r="114" spans="4:20" x14ac:dyDescent="0.25">
      <c r="E114" s="75"/>
      <c r="F114" s="75"/>
      <c r="G114" s="75"/>
      <c r="H114" s="75"/>
      <c r="I114" s="75"/>
      <c r="J114" s="75"/>
      <c r="K114" s="75"/>
      <c r="L114" s="75"/>
      <c r="M114" s="101"/>
      <c r="N114" s="76"/>
      <c r="O114" s="105"/>
      <c r="P114" s="76"/>
      <c r="Q114" s="2" t="s">
        <v>108</v>
      </c>
      <c r="R114" s="13">
        <f>((_xlfn.BITAND(P112,3840))/(2^8))</f>
        <v>4</v>
      </c>
      <c r="S114" s="27" t="str">
        <f>IF(R114&lt;16,CONCATENATE("0x0",(DEC2HEX(R114))),CONCATENATE("0x",(DEC2HEX(R114))))</f>
        <v>0x04</v>
      </c>
      <c r="T114" s="5" t="str">
        <f>DEC2BIN(R114,8)</f>
        <v>00000100</v>
      </c>
    </row>
    <row r="115" spans="4:20" x14ac:dyDescent="0.25">
      <c r="E115" s="73" t="s">
        <v>109</v>
      </c>
      <c r="F115" s="73"/>
      <c r="G115" s="73"/>
      <c r="H115" s="73"/>
      <c r="I115" s="73"/>
      <c r="J115" s="73"/>
      <c r="K115" s="73"/>
      <c r="L115" s="73"/>
      <c r="M115" s="1"/>
      <c r="P115" s="9"/>
      <c r="Q115" s="19"/>
      <c r="R115" s="19"/>
      <c r="S115" s="2"/>
      <c r="T115" s="1"/>
    </row>
    <row r="116" spans="4:20" x14ac:dyDescent="0.25">
      <c r="E116" s="75">
        <f>0.6564*2</f>
        <v>1.3128</v>
      </c>
      <c r="F116" s="75"/>
      <c r="G116" s="75"/>
      <c r="H116" s="75"/>
      <c r="I116" s="75"/>
      <c r="J116" s="75"/>
      <c r="K116" s="75"/>
      <c r="L116" s="75"/>
      <c r="M116" s="101" t="s">
        <v>5</v>
      </c>
      <c r="N116" s="76">
        <f>(P116*Variables!C1/Variables!C3)</f>
        <v>1.3129670329670331</v>
      </c>
      <c r="O116" s="105" t="s">
        <v>5</v>
      </c>
      <c r="P116" s="76">
        <f>(IF(E116&lt;0,0,IF(E116&gt;1.8,4095,ROUND(((E116*4095)/1.8),0))))</f>
        <v>2987</v>
      </c>
      <c r="Q116" s="2" t="s">
        <v>110</v>
      </c>
      <c r="R116" s="13">
        <f>_xlfn.BITAND(P116,255)</f>
        <v>171</v>
      </c>
      <c r="S116" s="27" t="str">
        <f>IF(R116&lt;16,CONCATENATE("0x0",(DEC2HEX(R116))),CONCATENATE("0x",(DEC2HEX(R116))))</f>
        <v>0xAB</v>
      </c>
      <c r="T116" s="5" t="str">
        <f>DEC2BIN(R116,8)</f>
        <v>10101011</v>
      </c>
    </row>
    <row r="117" spans="4:20" x14ac:dyDescent="0.25">
      <c r="D117" t="s">
        <v>208</v>
      </c>
      <c r="E117" s="75"/>
      <c r="F117" s="75"/>
      <c r="G117" s="75"/>
      <c r="H117" s="75"/>
      <c r="I117" s="75"/>
      <c r="J117" s="75"/>
      <c r="K117" s="75"/>
      <c r="L117" s="75"/>
      <c r="M117" s="101"/>
      <c r="N117" s="76"/>
      <c r="O117" s="105"/>
      <c r="P117" s="76"/>
      <c r="Q117" s="2"/>
      <c r="R117" s="1"/>
      <c r="S117" s="6"/>
      <c r="T117" s="1"/>
    </row>
    <row r="118" spans="4:20" x14ac:dyDescent="0.25">
      <c r="E118" s="75"/>
      <c r="F118" s="75"/>
      <c r="G118" s="75"/>
      <c r="H118" s="75"/>
      <c r="I118" s="75"/>
      <c r="J118" s="75"/>
      <c r="K118" s="75"/>
      <c r="L118" s="75"/>
      <c r="M118" s="101"/>
      <c r="N118" s="76"/>
      <c r="O118" s="105"/>
      <c r="P118" s="76"/>
      <c r="Q118" s="2" t="s">
        <v>111</v>
      </c>
      <c r="R118" s="13">
        <f>((_xlfn.BITAND(P116,3840))/(2^8))</f>
        <v>11</v>
      </c>
      <c r="S118" s="27" t="str">
        <f>IF(R118&lt;16,CONCATENATE("0x0",(DEC2HEX(R118))),CONCATENATE("0x",(DEC2HEX(R118))))</f>
        <v>0x0B</v>
      </c>
      <c r="T118" s="5" t="str">
        <f>DEC2BIN(R118,8)</f>
        <v>00001011</v>
      </c>
    </row>
    <row r="119" spans="4:20" x14ac:dyDescent="0.25">
      <c r="E119" s="73" t="s">
        <v>112</v>
      </c>
      <c r="F119" s="73"/>
      <c r="G119" s="73"/>
      <c r="H119" s="73"/>
      <c r="I119" s="73"/>
      <c r="J119" s="73"/>
      <c r="K119" s="73"/>
      <c r="L119" s="73"/>
      <c r="M119" s="1"/>
      <c r="P119" s="9"/>
      <c r="Q119" s="19"/>
      <c r="R119" s="19"/>
      <c r="S119" s="2"/>
      <c r="T119" s="1"/>
    </row>
    <row r="120" spans="4:20" x14ac:dyDescent="0.25">
      <c r="E120" s="75">
        <f>0.6453*2</f>
        <v>1.2906</v>
      </c>
      <c r="F120" s="75"/>
      <c r="G120" s="75"/>
      <c r="H120" s="75"/>
      <c r="I120" s="75"/>
      <c r="J120" s="75"/>
      <c r="K120" s="75"/>
      <c r="L120" s="75"/>
      <c r="M120" s="101" t="s">
        <v>5</v>
      </c>
      <c r="N120" s="76">
        <f>(P120*Variables!C1/Variables!C3)</f>
        <v>1.2905494505494506</v>
      </c>
      <c r="O120" s="105" t="s">
        <v>5</v>
      </c>
      <c r="P120" s="76">
        <f>(IF(E120&lt;0,0,IF(E120&gt;1.8,4095,ROUND(((E120*4095)/1.8),0))))</f>
        <v>2936</v>
      </c>
      <c r="Q120" s="2" t="s">
        <v>113</v>
      </c>
      <c r="R120" s="13">
        <f>_xlfn.BITAND(P120,255)</f>
        <v>120</v>
      </c>
      <c r="S120" s="27" t="str">
        <f>IF(R120&lt;16,CONCATENATE("0x0",(DEC2HEX(R120))),CONCATENATE("0x",(DEC2HEX(R120))))</f>
        <v>0x78</v>
      </c>
      <c r="T120" s="5" t="str">
        <f>DEC2BIN(R120,8)</f>
        <v>01111000</v>
      </c>
    </row>
    <row r="121" spans="4:20" x14ac:dyDescent="0.25">
      <c r="D121" t="s">
        <v>209</v>
      </c>
      <c r="E121" s="75"/>
      <c r="F121" s="75"/>
      <c r="G121" s="75"/>
      <c r="H121" s="75"/>
      <c r="I121" s="75"/>
      <c r="J121" s="75"/>
      <c r="K121" s="75"/>
      <c r="L121" s="75"/>
      <c r="M121" s="101"/>
      <c r="N121" s="76"/>
      <c r="O121" s="105"/>
      <c r="P121" s="76"/>
      <c r="Q121" s="2"/>
      <c r="R121" s="1"/>
      <c r="S121" s="6"/>
      <c r="T121" s="1"/>
    </row>
    <row r="122" spans="4:20" x14ac:dyDescent="0.25">
      <c r="E122" s="75"/>
      <c r="F122" s="75"/>
      <c r="G122" s="75"/>
      <c r="H122" s="75"/>
      <c r="I122" s="75"/>
      <c r="J122" s="75"/>
      <c r="K122" s="75"/>
      <c r="L122" s="75"/>
      <c r="M122" s="101"/>
      <c r="N122" s="76"/>
      <c r="O122" s="105"/>
      <c r="P122" s="76"/>
      <c r="Q122" s="2" t="s">
        <v>114</v>
      </c>
      <c r="R122" s="13">
        <f>((_xlfn.BITAND(P120,3840))/(2^8))</f>
        <v>11</v>
      </c>
      <c r="S122" s="27" t="str">
        <f>IF(R122&lt;16,CONCATENATE("0x0",(DEC2HEX(R122))),CONCATENATE("0x",(DEC2HEX(R122))))</f>
        <v>0x0B</v>
      </c>
      <c r="T122" s="5" t="str">
        <f>DEC2BIN(R122,8)</f>
        <v>00001011</v>
      </c>
    </row>
    <row r="123" spans="4:20" x14ac:dyDescent="0.25">
      <c r="E123" s="73" t="s">
        <v>115</v>
      </c>
      <c r="F123" s="73"/>
      <c r="G123" s="73"/>
      <c r="H123" s="73"/>
      <c r="I123" s="73"/>
      <c r="J123" s="73"/>
      <c r="K123" s="73"/>
      <c r="L123" s="73"/>
      <c r="M123" s="1"/>
      <c r="P123" s="9"/>
      <c r="Q123" s="19"/>
      <c r="R123" s="19"/>
      <c r="S123" s="2"/>
      <c r="T123" s="1"/>
    </row>
    <row r="124" spans="4:20" x14ac:dyDescent="0.25">
      <c r="E124" s="75">
        <f>0.2363*2</f>
        <v>0.47260000000000002</v>
      </c>
      <c r="F124" s="75"/>
      <c r="G124" s="75"/>
      <c r="H124" s="75"/>
      <c r="I124" s="75"/>
      <c r="J124" s="75"/>
      <c r="K124" s="75"/>
      <c r="L124" s="75"/>
      <c r="M124" s="101" t="s">
        <v>5</v>
      </c>
      <c r="N124" s="76">
        <f>(P124*Variables!C1/Variables!C3)</f>
        <v>0.47252747252747251</v>
      </c>
      <c r="O124" s="105" t="s">
        <v>5</v>
      </c>
      <c r="P124" s="76">
        <f>(IF(E124&lt;0,0,IF(E124&gt;1.8,4095,ROUND(((E124*4095)/1.8),0))))</f>
        <v>1075</v>
      </c>
      <c r="Q124" s="2" t="s">
        <v>116</v>
      </c>
      <c r="R124" s="13">
        <f>_xlfn.BITAND(P124,255)</f>
        <v>51</v>
      </c>
      <c r="S124" s="27" t="str">
        <f>IF(R124&lt;16,CONCATENATE("0x0",(DEC2HEX(R124))),CONCATENATE("0x",(DEC2HEX(R124))))</f>
        <v>0x33</v>
      </c>
      <c r="T124" s="5" t="str">
        <f>DEC2BIN(R124,8)</f>
        <v>00110011</v>
      </c>
    </row>
    <row r="125" spans="4:20" x14ac:dyDescent="0.25">
      <c r="D125" t="s">
        <v>206</v>
      </c>
      <c r="E125" s="75"/>
      <c r="F125" s="75"/>
      <c r="G125" s="75"/>
      <c r="H125" s="75"/>
      <c r="I125" s="75"/>
      <c r="J125" s="75"/>
      <c r="K125" s="75"/>
      <c r="L125" s="75"/>
      <c r="M125" s="101"/>
      <c r="N125" s="76"/>
      <c r="O125" s="105"/>
      <c r="P125" s="76"/>
      <c r="Q125" s="2"/>
      <c r="R125" s="1"/>
      <c r="S125" s="6"/>
      <c r="T125" s="1"/>
    </row>
    <row r="126" spans="4:20" x14ac:dyDescent="0.25">
      <c r="E126" s="75"/>
      <c r="F126" s="75"/>
      <c r="G126" s="75"/>
      <c r="H126" s="75"/>
      <c r="I126" s="75"/>
      <c r="J126" s="75"/>
      <c r="K126" s="75"/>
      <c r="L126" s="75"/>
      <c r="M126" s="101"/>
      <c r="N126" s="76"/>
      <c r="O126" s="105"/>
      <c r="P126" s="76"/>
      <c r="Q126" s="2" t="s">
        <v>117</v>
      </c>
      <c r="R126" s="13">
        <f>((_xlfn.BITAND(P124,3840))/(2^8))</f>
        <v>4</v>
      </c>
      <c r="S126" s="27" t="str">
        <f>IF(R126&lt;16,CONCATENATE("0x0",(DEC2HEX(R126))),CONCATENATE("0x",(DEC2HEX(R126))))</f>
        <v>0x04</v>
      </c>
      <c r="T126" s="5" t="str">
        <f>DEC2BIN(R126,8)</f>
        <v>00000100</v>
      </c>
    </row>
    <row r="127" spans="4:20" x14ac:dyDescent="0.25">
      <c r="E127" s="73" t="s">
        <v>118</v>
      </c>
      <c r="F127" s="73"/>
      <c r="G127" s="73"/>
      <c r="H127" s="73"/>
      <c r="I127" s="73"/>
      <c r="J127" s="73"/>
      <c r="K127" s="73"/>
      <c r="L127" s="73"/>
      <c r="M127" s="1"/>
      <c r="P127" s="9"/>
      <c r="Q127" s="19"/>
      <c r="R127" s="19"/>
      <c r="S127" s="2"/>
      <c r="T127" s="1"/>
    </row>
    <row r="128" spans="4:20" x14ac:dyDescent="0.25">
      <c r="E128" s="75">
        <f>0.2683*2</f>
        <v>0.53659999999999997</v>
      </c>
      <c r="F128" s="75"/>
      <c r="G128" s="75"/>
      <c r="H128" s="75"/>
      <c r="I128" s="75"/>
      <c r="J128" s="75"/>
      <c r="K128" s="75"/>
      <c r="L128" s="75"/>
      <c r="M128" s="101" t="s">
        <v>5</v>
      </c>
      <c r="N128" s="76">
        <f>(P128*Variables!C1/Variables!C3)</f>
        <v>0.53670329670329675</v>
      </c>
      <c r="O128" s="105" t="s">
        <v>5</v>
      </c>
      <c r="P128" s="76">
        <f>(IF(E128&lt;0,0,IF(E128&gt;1.8,4095,ROUND(((E128*4095)/1.8),0))))</f>
        <v>1221</v>
      </c>
      <c r="Q128" s="2" t="s">
        <v>119</v>
      </c>
      <c r="R128" s="13">
        <f>_xlfn.BITAND(P128,255)</f>
        <v>197</v>
      </c>
      <c r="S128" s="27" t="str">
        <f>IF(R128&lt;16,CONCATENATE("0x0",(DEC2HEX(R128))),CONCATENATE("0x",(DEC2HEX(R128))))</f>
        <v>0xC5</v>
      </c>
      <c r="T128" s="5" t="str">
        <f>DEC2BIN(R128,8)</f>
        <v>11000101</v>
      </c>
    </row>
    <row r="129" spans="4:20" x14ac:dyDescent="0.25">
      <c r="D129" t="s">
        <v>207</v>
      </c>
      <c r="E129" s="75"/>
      <c r="F129" s="75"/>
      <c r="G129" s="75"/>
      <c r="H129" s="75"/>
      <c r="I129" s="75"/>
      <c r="J129" s="75"/>
      <c r="K129" s="75"/>
      <c r="L129" s="75"/>
      <c r="M129" s="101"/>
      <c r="N129" s="76"/>
      <c r="O129" s="105"/>
      <c r="P129" s="76"/>
      <c r="Q129" s="2"/>
      <c r="R129" s="1"/>
      <c r="S129" s="6"/>
      <c r="T129" s="1"/>
    </row>
    <row r="130" spans="4:20" x14ac:dyDescent="0.25">
      <c r="E130" s="75"/>
      <c r="F130" s="75"/>
      <c r="G130" s="75"/>
      <c r="H130" s="75"/>
      <c r="I130" s="75"/>
      <c r="J130" s="75"/>
      <c r="K130" s="75"/>
      <c r="L130" s="75"/>
      <c r="M130" s="101"/>
      <c r="N130" s="76"/>
      <c r="O130" s="105"/>
      <c r="P130" s="76"/>
      <c r="Q130" s="2" t="s">
        <v>120</v>
      </c>
      <c r="R130" s="13">
        <f>((_xlfn.BITAND(P128,3840))/(2^8))</f>
        <v>4</v>
      </c>
      <c r="S130" s="27" t="str">
        <f>IF(R130&lt;16,CONCATENATE("0x0",(DEC2HEX(R130))),CONCATENATE("0x",(DEC2HEX(R130))))</f>
        <v>0x04</v>
      </c>
      <c r="T130" s="5" t="str">
        <f>DEC2BIN(R130,8)</f>
        <v>00000100</v>
      </c>
    </row>
    <row r="131" spans="4:20" x14ac:dyDescent="0.25">
      <c r="E131" s="73" t="s">
        <v>123</v>
      </c>
      <c r="F131" s="73"/>
      <c r="G131" s="73"/>
      <c r="H131" s="73"/>
      <c r="I131" s="73"/>
      <c r="J131" s="73"/>
      <c r="K131" s="73"/>
      <c r="L131" s="73"/>
      <c r="M131" s="1"/>
      <c r="P131" s="9"/>
      <c r="Q131" s="19"/>
      <c r="R131" s="19"/>
      <c r="S131" s="2"/>
      <c r="T131" s="1"/>
    </row>
    <row r="132" spans="4:20" x14ac:dyDescent="0.25">
      <c r="E132" s="75">
        <f>0.6564*2</f>
        <v>1.3128</v>
      </c>
      <c r="F132" s="75"/>
      <c r="G132" s="75"/>
      <c r="H132" s="75"/>
      <c r="I132" s="75"/>
      <c r="J132" s="75"/>
      <c r="K132" s="75"/>
      <c r="L132" s="75"/>
      <c r="M132" s="101" t="s">
        <v>5</v>
      </c>
      <c r="N132" s="76">
        <f>(P132*Variables!C1/Variables!C3)</f>
        <v>1.3129670329670331</v>
      </c>
      <c r="O132" s="105" t="s">
        <v>5</v>
      </c>
      <c r="P132" s="76">
        <f>(IF(E132&lt;0,0,IF(E132&gt;1.8,4095,ROUND(((E132*4095)/1.8),0))))</f>
        <v>2987</v>
      </c>
      <c r="Q132" s="2" t="s">
        <v>121</v>
      </c>
      <c r="R132" s="13">
        <f>_xlfn.BITAND(P132,255)</f>
        <v>171</v>
      </c>
      <c r="S132" s="27" t="str">
        <f>IF(R132&lt;16,CONCATENATE("0x0",(DEC2HEX(R132))),CONCATENATE("0x",(DEC2HEX(R132))))</f>
        <v>0xAB</v>
      </c>
      <c r="T132" s="5" t="str">
        <f>DEC2BIN(R132,8)</f>
        <v>10101011</v>
      </c>
    </row>
    <row r="133" spans="4:20" x14ac:dyDescent="0.25">
      <c r="D133" t="s">
        <v>208</v>
      </c>
      <c r="E133" s="75"/>
      <c r="F133" s="75"/>
      <c r="G133" s="75"/>
      <c r="H133" s="75"/>
      <c r="I133" s="75"/>
      <c r="J133" s="75"/>
      <c r="K133" s="75"/>
      <c r="L133" s="75"/>
      <c r="M133" s="101"/>
      <c r="N133" s="76"/>
      <c r="O133" s="105"/>
      <c r="P133" s="76"/>
      <c r="Q133" s="2"/>
      <c r="R133" s="1"/>
      <c r="S133" s="6"/>
      <c r="T133" s="1"/>
    </row>
    <row r="134" spans="4:20" x14ac:dyDescent="0.25">
      <c r="E134" s="75"/>
      <c r="F134" s="75"/>
      <c r="G134" s="75"/>
      <c r="H134" s="75"/>
      <c r="I134" s="75"/>
      <c r="J134" s="75"/>
      <c r="K134" s="75"/>
      <c r="L134" s="75"/>
      <c r="M134" s="101"/>
      <c r="N134" s="76"/>
      <c r="O134" s="105"/>
      <c r="P134" s="76"/>
      <c r="Q134" s="2" t="s">
        <v>122</v>
      </c>
      <c r="R134" s="13">
        <f>((_xlfn.BITAND(P132,3840))/(2^8))</f>
        <v>11</v>
      </c>
      <c r="S134" s="27" t="str">
        <f>IF(R134&lt;16,CONCATENATE("0x0",(DEC2HEX(R134))),CONCATENATE("0x",(DEC2HEX(R134))))</f>
        <v>0x0B</v>
      </c>
      <c r="T134" s="5" t="str">
        <f>DEC2BIN(R134,8)</f>
        <v>00001011</v>
      </c>
    </row>
    <row r="135" spans="4:20" x14ac:dyDescent="0.25">
      <c r="E135" s="73" t="s">
        <v>124</v>
      </c>
      <c r="F135" s="73"/>
      <c r="G135" s="73"/>
      <c r="H135" s="73"/>
      <c r="I135" s="73"/>
      <c r="J135" s="73"/>
      <c r="K135" s="73"/>
      <c r="L135" s="73"/>
      <c r="M135" s="1"/>
      <c r="P135" s="9"/>
      <c r="Q135" s="19"/>
      <c r="R135" s="19"/>
      <c r="S135" s="2"/>
      <c r="T135" s="1"/>
    </row>
    <row r="136" spans="4:20" x14ac:dyDescent="0.25">
      <c r="E136" s="75">
        <f>0.6453*2</f>
        <v>1.2906</v>
      </c>
      <c r="F136" s="75"/>
      <c r="G136" s="75"/>
      <c r="H136" s="75"/>
      <c r="I136" s="75"/>
      <c r="J136" s="75"/>
      <c r="K136" s="75"/>
      <c r="L136" s="75"/>
      <c r="M136" s="101" t="s">
        <v>5</v>
      </c>
      <c r="N136" s="76">
        <f>(P136*Variables!C1/Variables!C3)</f>
        <v>1.2905494505494506</v>
      </c>
      <c r="O136" s="105" t="s">
        <v>5</v>
      </c>
      <c r="P136" s="76">
        <f>(IF(E136&lt;0,0,IF(E136&gt;1.8,4095,ROUND(((E136*4095)/1.8),0))))</f>
        <v>2936</v>
      </c>
      <c r="Q136" s="2" t="s">
        <v>125</v>
      </c>
      <c r="R136" s="13">
        <f>_xlfn.BITAND(P136,255)</f>
        <v>120</v>
      </c>
      <c r="S136" s="27" t="str">
        <f>IF(R136&lt;16,CONCATENATE("0x0",(DEC2HEX(R136))),CONCATENATE("0x",(DEC2HEX(R136))))</f>
        <v>0x78</v>
      </c>
      <c r="T136" s="5" t="str">
        <f>DEC2BIN(R136,8)</f>
        <v>01111000</v>
      </c>
    </row>
    <row r="137" spans="4:20" x14ac:dyDescent="0.25">
      <c r="D137" t="s">
        <v>209</v>
      </c>
      <c r="E137" s="75"/>
      <c r="F137" s="75"/>
      <c r="G137" s="75"/>
      <c r="H137" s="75"/>
      <c r="I137" s="75"/>
      <c r="J137" s="75"/>
      <c r="K137" s="75"/>
      <c r="L137" s="75"/>
      <c r="M137" s="101"/>
      <c r="N137" s="76"/>
      <c r="O137" s="105"/>
      <c r="P137" s="76"/>
      <c r="Q137" s="2"/>
      <c r="R137" s="1"/>
      <c r="S137" s="6"/>
      <c r="T137" s="1"/>
    </row>
    <row r="138" spans="4:20" x14ac:dyDescent="0.25">
      <c r="E138" s="75"/>
      <c r="F138" s="75"/>
      <c r="G138" s="75"/>
      <c r="H138" s="75"/>
      <c r="I138" s="75"/>
      <c r="J138" s="75"/>
      <c r="K138" s="75"/>
      <c r="L138" s="75"/>
      <c r="M138" s="101"/>
      <c r="N138" s="76"/>
      <c r="O138" s="105"/>
      <c r="P138" s="76"/>
      <c r="Q138" s="2" t="s">
        <v>126</v>
      </c>
      <c r="R138" s="13">
        <f>((_xlfn.BITAND(P136,3840))/(2^8))</f>
        <v>11</v>
      </c>
      <c r="S138" s="27" t="str">
        <f>IF(R138&lt;16,CONCATENATE("0x0",(DEC2HEX(R138))),CONCATENATE("0x",(DEC2HEX(R138))))</f>
        <v>0x0B</v>
      </c>
      <c r="T138" s="5" t="str">
        <f>DEC2BIN(R138,8)</f>
        <v>00001011</v>
      </c>
    </row>
    <row r="139" spans="4:20" x14ac:dyDescent="0.25">
      <c r="E139" s="73" t="s">
        <v>127</v>
      </c>
      <c r="F139" s="73"/>
      <c r="G139" s="73"/>
      <c r="H139" s="73"/>
      <c r="I139" s="73"/>
      <c r="J139" s="73"/>
      <c r="K139" s="73"/>
      <c r="L139" s="73"/>
      <c r="M139" s="1"/>
      <c r="P139" s="9"/>
      <c r="Q139" s="19"/>
      <c r="R139" s="19"/>
      <c r="S139" s="2"/>
      <c r="T139" s="1"/>
    </row>
    <row r="140" spans="4:20" x14ac:dyDescent="0.25">
      <c r="E140" s="59">
        <v>0.71912100000000001</v>
      </c>
      <c r="F140" s="60"/>
      <c r="G140" s="60"/>
      <c r="H140" s="60"/>
      <c r="I140" s="60"/>
      <c r="J140" s="60"/>
      <c r="K140" s="60"/>
      <c r="L140" s="61"/>
      <c r="M140" s="101" t="s">
        <v>5</v>
      </c>
      <c r="N140" s="76">
        <f>(P140*Variables!C1/Variables!C3)</f>
        <v>0.71912087912087919</v>
      </c>
      <c r="O140" s="105" t="s">
        <v>5</v>
      </c>
      <c r="P140" s="76">
        <f>(IF(E140&lt;0,0,IF(E140&gt;1.8,4095,ROUND(((E140*4095)/1.8),0))))</f>
        <v>1636</v>
      </c>
      <c r="Q140" s="2" t="s">
        <v>128</v>
      </c>
      <c r="R140" s="13">
        <f>_xlfn.BITAND(P140,255)</f>
        <v>100</v>
      </c>
      <c r="S140" s="27" t="str">
        <f>IF(R140&lt;16,CONCATENATE("0x0",(DEC2HEX(R140))),CONCATENATE("0x",(DEC2HEX(R140))))</f>
        <v>0x64</v>
      </c>
      <c r="T140" s="5" t="str">
        <f>DEC2BIN(R140,8)</f>
        <v>01100100</v>
      </c>
    </row>
    <row r="141" spans="4:20" x14ac:dyDescent="0.25">
      <c r="E141" s="83"/>
      <c r="F141" s="84"/>
      <c r="G141" s="84"/>
      <c r="H141" s="84"/>
      <c r="I141" s="84"/>
      <c r="J141" s="84"/>
      <c r="K141" s="84"/>
      <c r="L141" s="85"/>
      <c r="M141" s="101"/>
      <c r="N141" s="76"/>
      <c r="O141" s="105"/>
      <c r="P141" s="76"/>
      <c r="Q141" s="2"/>
      <c r="R141" s="1"/>
      <c r="S141" s="6"/>
      <c r="T141" s="1"/>
    </row>
    <row r="142" spans="4:20" x14ac:dyDescent="0.25">
      <c r="E142" s="62"/>
      <c r="F142" s="63"/>
      <c r="G142" s="63"/>
      <c r="H142" s="63"/>
      <c r="I142" s="63"/>
      <c r="J142" s="63"/>
      <c r="K142" s="63"/>
      <c r="L142" s="64"/>
      <c r="M142" s="101"/>
      <c r="N142" s="76"/>
      <c r="O142" s="105"/>
      <c r="P142" s="76"/>
      <c r="Q142" s="2" t="s">
        <v>129</v>
      </c>
      <c r="R142" s="13">
        <f>((_xlfn.BITAND(P140,3840))/(2^8))</f>
        <v>6</v>
      </c>
      <c r="S142" s="27" t="str">
        <f>IF(R142&lt;16,CONCATENATE("0x0",(DEC2HEX(R142))),CONCATENATE("0x",(DEC2HEX(R142))))</f>
        <v>0x06</v>
      </c>
      <c r="T142" s="5" t="str">
        <f>DEC2BIN(R142,8)</f>
        <v>00000110</v>
      </c>
    </row>
    <row r="143" spans="4:20" x14ac:dyDescent="0.25">
      <c r="E143" s="73" t="s">
        <v>130</v>
      </c>
      <c r="F143" s="73"/>
      <c r="G143" s="73"/>
      <c r="H143" s="73"/>
      <c r="I143" s="73"/>
      <c r="J143" s="73"/>
      <c r="K143" s="73"/>
      <c r="L143" s="73"/>
      <c r="M143" s="1"/>
      <c r="P143" s="9"/>
      <c r="Q143" s="19"/>
      <c r="R143" s="19"/>
      <c r="S143" s="2"/>
      <c r="T143" s="1"/>
    </row>
    <row r="144" spans="4:20" x14ac:dyDescent="0.25">
      <c r="E144" s="75">
        <v>0.68219799999999997</v>
      </c>
      <c r="F144" s="75"/>
      <c r="G144" s="75"/>
      <c r="H144" s="75"/>
      <c r="I144" s="75"/>
      <c r="J144" s="75"/>
      <c r="K144" s="75"/>
      <c r="L144" s="75"/>
      <c r="M144" s="101" t="s">
        <v>5</v>
      </c>
      <c r="N144" s="76">
        <f>(P144*Variables!C1/Variables!C3)</f>
        <v>0.68219780219780213</v>
      </c>
      <c r="O144" s="105" t="s">
        <v>5</v>
      </c>
      <c r="P144" s="76">
        <f>(IF(E144&lt;0,0,IF(E144&gt;1.8,4095,ROUND(((E144*4095)/1.8),0))))</f>
        <v>1552</v>
      </c>
      <c r="Q144" s="2" t="s">
        <v>131</v>
      </c>
      <c r="R144" s="13">
        <f>_xlfn.BITAND(P144,255)</f>
        <v>16</v>
      </c>
      <c r="S144" s="27" t="str">
        <f>IF(R144&lt;16,CONCATENATE("0x0",(DEC2HEX(R144))),CONCATENATE("0x",(DEC2HEX(R144))))</f>
        <v>0x10</v>
      </c>
      <c r="T144" s="5" t="str">
        <f>DEC2BIN(R144,8)</f>
        <v>00010000</v>
      </c>
    </row>
    <row r="145" spans="2:20" x14ac:dyDescent="0.25">
      <c r="E145" s="75"/>
      <c r="F145" s="75"/>
      <c r="G145" s="75"/>
      <c r="H145" s="75"/>
      <c r="I145" s="75"/>
      <c r="J145" s="75"/>
      <c r="K145" s="75"/>
      <c r="L145" s="75"/>
      <c r="M145" s="101"/>
      <c r="N145" s="76"/>
      <c r="O145" s="105"/>
      <c r="P145" s="76"/>
      <c r="Q145" s="2"/>
      <c r="R145" s="1"/>
      <c r="S145" s="6"/>
      <c r="T145" s="1"/>
    </row>
    <row r="146" spans="2:20" x14ac:dyDescent="0.25">
      <c r="E146" s="75"/>
      <c r="F146" s="75"/>
      <c r="G146" s="75"/>
      <c r="H146" s="75"/>
      <c r="I146" s="75"/>
      <c r="J146" s="75"/>
      <c r="K146" s="75"/>
      <c r="L146" s="75"/>
      <c r="M146" s="101"/>
      <c r="N146" s="76"/>
      <c r="O146" s="105"/>
      <c r="P146" s="76"/>
      <c r="Q146" s="2" t="s">
        <v>132</v>
      </c>
      <c r="R146" s="13">
        <f>((_xlfn.BITAND(P144,3840))/(2^8))</f>
        <v>6</v>
      </c>
      <c r="S146" s="27" t="str">
        <f>IF(R146&lt;16,CONCATENATE("0x0",(DEC2HEX(R146))),CONCATENATE("0x",(DEC2HEX(R146))))</f>
        <v>0x06</v>
      </c>
      <c r="T146" s="5" t="str">
        <f>DEC2BIN(R146,8)</f>
        <v>00000110</v>
      </c>
    </row>
    <row r="147" spans="2:20" x14ac:dyDescent="0.25">
      <c r="E147" s="57" t="s">
        <v>135</v>
      </c>
      <c r="F147" s="57"/>
      <c r="G147" s="57"/>
      <c r="H147" s="57"/>
      <c r="I147" s="57"/>
      <c r="J147" s="57"/>
      <c r="K147" s="57"/>
      <c r="L147" s="57"/>
      <c r="M147" s="1"/>
      <c r="P147" s="1"/>
      <c r="Q147" s="2"/>
      <c r="R147" s="2"/>
      <c r="S147" s="2"/>
      <c r="T147" s="1"/>
    </row>
    <row r="148" spans="2:20" x14ac:dyDescent="0.25">
      <c r="E148" s="75">
        <v>2.5</v>
      </c>
      <c r="F148" s="75"/>
      <c r="G148" s="75"/>
      <c r="H148" s="75"/>
      <c r="I148" s="75"/>
      <c r="J148" s="75"/>
      <c r="K148" s="75"/>
      <c r="L148" s="75"/>
      <c r="M148" s="101" t="s">
        <v>5</v>
      </c>
      <c r="N148" s="76">
        <f>(P148*Variables!C1/Variables!C3)*Variables!C2</f>
        <v>2.5002197802197834</v>
      </c>
      <c r="O148" s="73" t="s">
        <v>5</v>
      </c>
      <c r="P148" s="76">
        <f>(IF(E148&lt;0,0,IF(E148&gt;4.8,4095,ROUND((E148/Variables!F3),0))))</f>
        <v>2133</v>
      </c>
      <c r="Q148" s="20" t="s">
        <v>133</v>
      </c>
      <c r="R148" s="13">
        <f>_xlfn.BITAND(P148,255)</f>
        <v>85</v>
      </c>
      <c r="S148" s="13" t="str">
        <f>IF(R148&lt;16,CONCATENATE("0x0",(DEC2HEX(R148))),CONCATENATE("0x",(DEC2HEX(R148))))</f>
        <v>0x55</v>
      </c>
      <c r="T148" s="5" t="str">
        <f>DEC2BIN(R148,8)</f>
        <v>01010101</v>
      </c>
    </row>
    <row r="149" spans="2:20" x14ac:dyDescent="0.25">
      <c r="E149" s="75"/>
      <c r="F149" s="75"/>
      <c r="G149" s="75"/>
      <c r="H149" s="75"/>
      <c r="I149" s="75"/>
      <c r="J149" s="75"/>
      <c r="K149" s="75"/>
      <c r="L149" s="75"/>
      <c r="M149" s="101"/>
      <c r="N149" s="76"/>
      <c r="O149" s="73"/>
      <c r="P149" s="76"/>
      <c r="Q149" s="2"/>
      <c r="R149" s="2"/>
      <c r="S149" s="2"/>
      <c r="T149" s="1"/>
    </row>
    <row r="150" spans="2:20" x14ac:dyDescent="0.25">
      <c r="E150" s="75"/>
      <c r="F150" s="75"/>
      <c r="G150" s="75"/>
      <c r="H150" s="75"/>
      <c r="I150" s="75"/>
      <c r="J150" s="75"/>
      <c r="K150" s="75"/>
      <c r="L150" s="75"/>
      <c r="M150" s="101"/>
      <c r="N150" s="76"/>
      <c r="O150" s="73"/>
      <c r="P150" s="76"/>
      <c r="Q150" s="2" t="s">
        <v>134</v>
      </c>
      <c r="R150" s="13">
        <f>((_xlfn.BITAND(P148,3840))/(2^8))</f>
        <v>8</v>
      </c>
      <c r="S150" s="13" t="str">
        <f>IF(R150&lt;16,CONCATENATE("0x0",(DEC2HEX(R150))),CONCATENATE("0x",(DEC2HEX(R150))))</f>
        <v>0x08</v>
      </c>
      <c r="T150" s="5" t="str">
        <f>DEC2BIN(R150,8)</f>
        <v>00001000</v>
      </c>
    </row>
    <row r="151" spans="2:20" x14ac:dyDescent="0.25">
      <c r="E151" s="57" t="s">
        <v>136</v>
      </c>
      <c r="F151" s="57"/>
      <c r="G151" s="57"/>
      <c r="H151" s="57"/>
      <c r="I151" s="57"/>
      <c r="J151" s="57"/>
      <c r="K151" s="57"/>
      <c r="L151" s="57"/>
      <c r="M151" s="11"/>
      <c r="P151" s="11"/>
      <c r="Q151" s="24"/>
      <c r="R151" s="2"/>
      <c r="S151" s="2"/>
      <c r="T151" s="1"/>
    </row>
    <row r="152" spans="2:20" x14ac:dyDescent="0.25">
      <c r="B152" s="39"/>
      <c r="C152" s="39"/>
      <c r="E152" s="72">
        <v>15</v>
      </c>
      <c r="F152" s="72"/>
      <c r="G152" s="72"/>
      <c r="H152" s="72"/>
      <c r="I152" s="72"/>
      <c r="J152" s="72"/>
      <c r="K152" s="72"/>
      <c r="L152" s="72"/>
      <c r="M152" s="16"/>
      <c r="N152" s="22">
        <f>IF(E152&lt;0, "0", IF(E152 &gt; 1024, "1024",ROUND(E152,0)))</f>
        <v>15</v>
      </c>
      <c r="O152" s="22" t="str">
        <f>N155</f>
        <v>s</v>
      </c>
      <c r="P152" s="22">
        <f>N152</f>
        <v>15</v>
      </c>
      <c r="Q152" s="2"/>
      <c r="R152" s="2"/>
      <c r="S152" s="2"/>
      <c r="T152" s="1"/>
    </row>
    <row r="153" spans="2:20" x14ac:dyDescent="0.25">
      <c r="E153" s="86" t="s">
        <v>137</v>
      </c>
      <c r="F153" s="87"/>
      <c r="G153" s="87"/>
      <c r="H153" s="87"/>
      <c r="I153" s="87"/>
      <c r="J153" s="87"/>
      <c r="K153" s="87"/>
      <c r="L153" s="88"/>
      <c r="M153" s="11"/>
      <c r="P153" s="11"/>
      <c r="Q153" s="2" t="s">
        <v>140</v>
      </c>
      <c r="R153" s="13">
        <f>_xlfn.BITAND(P152,255)</f>
        <v>15</v>
      </c>
      <c r="S153" s="13" t="str">
        <f>IF(R153&lt;16,CONCATENATE("0x0",(DEC2HEX(R153))),CONCATENATE("0x",(DEC2HEX(R153))))</f>
        <v>0x0F</v>
      </c>
      <c r="T153" s="5" t="str">
        <f>DEC2BIN(R153,8)</f>
        <v>00001111</v>
      </c>
    </row>
    <row r="154" spans="2:20" x14ac:dyDescent="0.25">
      <c r="E154" s="86" t="s">
        <v>138</v>
      </c>
      <c r="F154" s="87"/>
      <c r="G154" s="87"/>
      <c r="H154" s="88"/>
      <c r="I154" s="86" t="s">
        <v>139</v>
      </c>
      <c r="J154" s="87"/>
      <c r="K154" s="87"/>
      <c r="L154" s="88"/>
      <c r="M154" s="11"/>
      <c r="P154" s="11"/>
      <c r="Q154" s="2"/>
      <c r="R154" s="2"/>
      <c r="S154" s="2"/>
      <c r="T154" s="1"/>
    </row>
    <row r="155" spans="2:20" x14ac:dyDescent="0.25">
      <c r="E155" s="75">
        <v>1</v>
      </c>
      <c r="F155" s="75"/>
      <c r="G155" s="75"/>
      <c r="H155" s="75"/>
      <c r="I155" s="75">
        <v>0</v>
      </c>
      <c r="J155" s="75"/>
      <c r="K155" s="75"/>
      <c r="L155" s="75"/>
      <c r="M155" s="16"/>
      <c r="N155" s="22" t="str">
        <f>IF(((E155*2 +I155) = 3),"min",IF((E155*2+I155 = 2), "s",IF((E155*2+I155=1),"ms","us")))</f>
        <v>s</v>
      </c>
      <c r="O155" s="16"/>
      <c r="P155" s="22">
        <f>IF(N155="min",3,IF(N155="s",2,IF(N155="ms",1,0)))</f>
        <v>2</v>
      </c>
      <c r="Q155" s="16"/>
      <c r="R155" s="16"/>
      <c r="S155" s="16"/>
      <c r="T155" s="1"/>
    </row>
    <row r="156" spans="2:20" x14ac:dyDescent="0.25">
      <c r="E156" s="57" t="s">
        <v>141</v>
      </c>
      <c r="F156" s="57"/>
      <c r="G156" s="57"/>
      <c r="H156" s="57"/>
      <c r="I156" s="57"/>
      <c r="J156" s="57"/>
      <c r="K156" s="57"/>
      <c r="L156" s="57"/>
      <c r="M156" s="10"/>
      <c r="P156" s="10"/>
      <c r="Q156" s="19" t="s">
        <v>142</v>
      </c>
      <c r="R156" s="32">
        <f>(P157*8)+(P155*2)+((_xlfn.BITAND(P152,256))/(2^8))</f>
        <v>252</v>
      </c>
      <c r="S156" s="32" t="str">
        <f>IF(R156&lt;16,CONCATENATE("0x0",(DEC2HEX(R156))),CONCATENATE("0x",(DEC2HEX(R156))))</f>
        <v>0xFC</v>
      </c>
      <c r="T156" s="5" t="str">
        <f>DEC2BIN(R156,8)</f>
        <v>11111100</v>
      </c>
    </row>
    <row r="157" spans="2:20" x14ac:dyDescent="0.25">
      <c r="E157" s="29"/>
      <c r="F157" s="29"/>
      <c r="G157" s="29"/>
      <c r="H157" s="33">
        <v>1</v>
      </c>
      <c r="I157" s="30">
        <v>1</v>
      </c>
      <c r="J157" s="30">
        <v>1</v>
      </c>
      <c r="K157" s="30">
        <v>1</v>
      </c>
      <c r="L157" s="30">
        <v>1</v>
      </c>
      <c r="M157" s="2"/>
      <c r="N157" s="22">
        <f>BIN2DEC(CONCATENATE(H157,I157,J157,K157,L157))</f>
        <v>31</v>
      </c>
      <c r="O157" s="16" t="s">
        <v>143</v>
      </c>
      <c r="P157" s="22">
        <f>N157</f>
        <v>31</v>
      </c>
      <c r="Q157" s="16"/>
      <c r="R157" s="31"/>
      <c r="S157" s="16"/>
      <c r="T157" s="16"/>
    </row>
    <row r="158" spans="2:20" x14ac:dyDescent="0.25">
      <c r="E158" s="86" t="s">
        <v>184</v>
      </c>
      <c r="F158" s="87"/>
      <c r="G158" s="87"/>
      <c r="H158" s="87"/>
      <c r="I158" s="87"/>
      <c r="J158" s="87"/>
      <c r="K158" s="87"/>
      <c r="L158" s="88"/>
      <c r="M158" s="10"/>
      <c r="P158" s="10"/>
      <c r="Q158" s="25"/>
      <c r="R158" s="19"/>
      <c r="S158" s="19"/>
      <c r="T158" s="9"/>
    </row>
    <row r="159" spans="2:20" x14ac:dyDescent="0.25">
      <c r="E159" s="54">
        <v>1</v>
      </c>
      <c r="F159" s="56"/>
      <c r="G159" s="54">
        <v>1</v>
      </c>
      <c r="H159" s="56"/>
      <c r="I159" s="54">
        <v>1</v>
      </c>
      <c r="J159" s="56"/>
      <c r="K159" s="54">
        <v>1</v>
      </c>
      <c r="L159" s="56"/>
      <c r="M159" s="2"/>
      <c r="N159" s="34">
        <f>BIN2DEC(CONCATENATE(E159,G159,I159,K159))</f>
        <v>15</v>
      </c>
      <c r="O159" s="2" t="s">
        <v>145</v>
      </c>
      <c r="P159" s="13">
        <f>N159</f>
        <v>15</v>
      </c>
      <c r="Q159" s="2"/>
      <c r="R159" s="2"/>
      <c r="S159" s="2"/>
      <c r="T159" s="2"/>
    </row>
    <row r="160" spans="2:20" x14ac:dyDescent="0.25">
      <c r="E160" s="86" t="s">
        <v>144</v>
      </c>
      <c r="F160" s="87"/>
      <c r="G160" s="87"/>
      <c r="H160" s="87"/>
      <c r="I160" s="87"/>
      <c r="J160" s="87"/>
      <c r="K160" s="87"/>
      <c r="L160" s="88"/>
      <c r="M160" s="10"/>
      <c r="P160" s="10"/>
      <c r="Q160" s="25" t="s">
        <v>146</v>
      </c>
      <c r="R160" s="32">
        <f>(P161*16)+(P159)</f>
        <v>255</v>
      </c>
      <c r="S160" s="32" t="str">
        <f>IF(R160&lt;16,CONCATENATE("0x0",(DEC2HEX(R160))),CONCATENATE("0x",(DEC2HEX(R160))))</f>
        <v>0xFF</v>
      </c>
      <c r="T160" s="5" t="str">
        <f>DEC2BIN(R160,8)</f>
        <v>11111111</v>
      </c>
    </row>
    <row r="161" spans="2:20" x14ac:dyDescent="0.25">
      <c r="E161" s="54">
        <v>1</v>
      </c>
      <c r="F161" s="56"/>
      <c r="G161" s="54">
        <v>1</v>
      </c>
      <c r="H161" s="56"/>
      <c r="I161" s="54">
        <v>1</v>
      </c>
      <c r="J161" s="56"/>
      <c r="K161" s="54">
        <v>1</v>
      </c>
      <c r="L161" s="56"/>
      <c r="M161" s="2"/>
      <c r="N161" s="34">
        <f>16*(BIN2DEC(CONCATENATE(E161,G161,I161,K161)))</f>
        <v>240</v>
      </c>
      <c r="O161" s="2" t="s">
        <v>145</v>
      </c>
      <c r="P161" s="34">
        <f>BIN2DEC(CONCATENATE(E161,G161,I161,K161))</f>
        <v>15</v>
      </c>
      <c r="Q161" s="2"/>
      <c r="R161" s="2"/>
      <c r="S161" s="2"/>
      <c r="T161" s="2"/>
    </row>
    <row r="162" spans="2:20" x14ac:dyDescent="0.25">
      <c r="E162" s="57" t="s">
        <v>147</v>
      </c>
      <c r="F162" s="57"/>
      <c r="G162" s="57"/>
      <c r="H162" s="57"/>
      <c r="I162" s="57"/>
      <c r="J162" s="57"/>
      <c r="K162" s="57"/>
      <c r="L162" s="57"/>
      <c r="M162" s="1"/>
      <c r="P162" s="10"/>
      <c r="Q162" s="25"/>
      <c r="R162" s="19"/>
      <c r="S162" s="2"/>
      <c r="T162" s="1"/>
    </row>
    <row r="163" spans="2:20" x14ac:dyDescent="0.25">
      <c r="E163" s="72" t="s">
        <v>152</v>
      </c>
      <c r="F163" s="72"/>
      <c r="G163" s="72"/>
      <c r="H163" s="72"/>
      <c r="I163" s="72"/>
      <c r="J163" s="72"/>
      <c r="K163" s="72"/>
      <c r="L163" s="72"/>
      <c r="M163" s="16"/>
      <c r="N163" s="16"/>
      <c r="O163" s="16"/>
      <c r="P163" s="22" t="str">
        <f>IF(E163="3 Cells","131",IF(E163="4 Cells","195",IF(E163="5 Cells","199",IF(E163="6 Cells","231",IF(E163="7 Cells","239",IF(E163="8 Cells","255"))))))</f>
        <v>239</v>
      </c>
      <c r="Q163" s="16" t="s">
        <v>154</v>
      </c>
      <c r="R163" s="22" t="str">
        <f>P163</f>
        <v>239</v>
      </c>
      <c r="S163" s="13" t="str">
        <f>IF(R163&lt;16,CONCATENATE("0x0",(DEC2HEX(R163))),CONCATENATE("0x",(DEC2HEX(R163))))</f>
        <v>0xEF</v>
      </c>
      <c r="T163" s="5" t="str">
        <f>DEC2BIN(R163,8)</f>
        <v>11101111</v>
      </c>
    </row>
    <row r="164" spans="2:20" x14ac:dyDescent="0.25">
      <c r="E164" s="2" t="s">
        <v>155</v>
      </c>
      <c r="F164" s="2" t="s">
        <v>156</v>
      </c>
      <c r="G164" s="2" t="s">
        <v>157</v>
      </c>
      <c r="H164" s="2" t="s">
        <v>158</v>
      </c>
      <c r="I164" s="2" t="s">
        <v>159</v>
      </c>
      <c r="J164" s="2" t="s">
        <v>160</v>
      </c>
      <c r="K164" s="2" t="s">
        <v>161</v>
      </c>
      <c r="L164" s="2" t="s">
        <v>162</v>
      </c>
      <c r="M164" s="1"/>
      <c r="P164" s="1"/>
      <c r="Q164" s="2"/>
      <c r="R164" s="2"/>
      <c r="S164" s="2"/>
      <c r="T164" s="1"/>
    </row>
    <row r="165" spans="2:20" x14ac:dyDescent="0.25">
      <c r="E165" s="13" t="s">
        <v>163</v>
      </c>
      <c r="F165" s="13" t="str">
        <f>IF(E163 = "3 Cells", "Disabled", "Enabled")</f>
        <v>Enabled</v>
      </c>
      <c r="G165" s="13" t="str">
        <f>IF(OR(E163 = "3 Cells",  E163 = "4 Cells", E163="5 Cells"), "Disabled", "Enabled")</f>
        <v>Enabled</v>
      </c>
      <c r="H165" s="13" t="str">
        <f>IF(OR(E163 = "3 Cells",  E163 = "4 Cells", E163="5 Cells", E163 = "6 Cells", E163 = "7 Cells"), "Disabled", "Enabled")</f>
        <v>Disabled</v>
      </c>
      <c r="I165" s="13" t="str">
        <f>IF(OR(E163 = "3 Cells",  E163 = "4 Cells", E163="5 Cells", E163 = "6 Cells"), "Disabled", "Enabled")</f>
        <v>Enabled</v>
      </c>
      <c r="J165" s="13" t="str">
        <f>IF(OR(E163 = "3 Cells",  E163 = "4 Cells"), "Disabled", "Enabled")</f>
        <v>Enabled</v>
      </c>
      <c r="K165" s="13" t="s">
        <v>163</v>
      </c>
      <c r="L165" s="13" t="s">
        <v>163</v>
      </c>
      <c r="M165" s="9"/>
      <c r="P165" s="1"/>
      <c r="Q165" s="2"/>
      <c r="R165" s="2"/>
      <c r="S165" s="2"/>
      <c r="T165" s="1"/>
    </row>
    <row r="166" spans="2:20" x14ac:dyDescent="0.25">
      <c r="E166" s="86" t="s">
        <v>171</v>
      </c>
      <c r="F166" s="87"/>
      <c r="G166" s="87"/>
      <c r="H166" s="87"/>
      <c r="I166" s="87"/>
      <c r="J166" s="87"/>
      <c r="K166" s="87"/>
      <c r="L166" s="88"/>
      <c r="M166" s="9"/>
      <c r="P166" s="1"/>
      <c r="Q166" s="2"/>
      <c r="R166" s="2"/>
      <c r="S166" s="2"/>
      <c r="T166" s="1"/>
    </row>
    <row r="167" spans="2:20" x14ac:dyDescent="0.25">
      <c r="E167" s="65" t="s">
        <v>164</v>
      </c>
      <c r="F167" s="65" t="s">
        <v>55</v>
      </c>
      <c r="G167" s="65" t="s">
        <v>165</v>
      </c>
      <c r="H167" s="65" t="s">
        <v>166</v>
      </c>
      <c r="I167" s="65" t="s">
        <v>55</v>
      </c>
      <c r="J167" s="65" t="s">
        <v>167</v>
      </c>
      <c r="K167" s="65" t="s">
        <v>168</v>
      </c>
      <c r="L167" s="106" t="s">
        <v>169</v>
      </c>
      <c r="M167" s="73"/>
      <c r="N167" s="35"/>
      <c r="O167" s="35"/>
      <c r="P167" s="73"/>
      <c r="Q167" s="73"/>
      <c r="R167" s="73"/>
      <c r="S167" s="73"/>
      <c r="T167" s="73"/>
    </row>
    <row r="168" spans="2:20" x14ac:dyDescent="0.25">
      <c r="E168" s="66"/>
      <c r="F168" s="66"/>
      <c r="G168" s="66"/>
      <c r="H168" s="66"/>
      <c r="I168" s="66"/>
      <c r="J168" s="66"/>
      <c r="K168" s="66"/>
      <c r="L168" s="107"/>
      <c r="M168" s="65"/>
      <c r="N168" s="35"/>
      <c r="O168" s="35"/>
      <c r="P168" s="65"/>
      <c r="Q168" s="65"/>
      <c r="R168" s="65"/>
      <c r="S168" s="65"/>
      <c r="T168" s="65"/>
    </row>
    <row r="169" spans="2:20" x14ac:dyDescent="0.25">
      <c r="B169" s="38"/>
      <c r="C169" s="38"/>
      <c r="E169" s="12">
        <v>0</v>
      </c>
      <c r="F169" s="36"/>
      <c r="G169" s="12">
        <v>1</v>
      </c>
      <c r="H169" s="12">
        <v>0</v>
      </c>
      <c r="I169" s="36"/>
      <c r="J169" s="12">
        <v>0</v>
      </c>
      <c r="K169" s="12">
        <v>0</v>
      </c>
      <c r="L169" s="12">
        <v>0</v>
      </c>
      <c r="M169" s="2"/>
      <c r="N169" s="13" t="str">
        <f>CONCATENATE(E169,"0",G169,H169,"0",J169,K169,L169)</f>
        <v>00100000</v>
      </c>
      <c r="O169" s="2"/>
      <c r="P169" s="13">
        <f>BIN2DEC(N169)</f>
        <v>32</v>
      </c>
      <c r="Q169" s="2" t="s">
        <v>170</v>
      </c>
      <c r="R169" s="13">
        <f>P169</f>
        <v>32</v>
      </c>
      <c r="S169" s="13" t="str">
        <f>IF(R169&lt;16,CONCATENATE("0x0",(DEC2HEX(R169))),CONCATENATE("0x",(DEC2HEX(R169))))</f>
        <v>0x20</v>
      </c>
      <c r="T169" s="5" t="str">
        <f>DEC2BIN(R169,8)</f>
        <v>00100000</v>
      </c>
    </row>
    <row r="170" spans="2:20" x14ac:dyDescent="0.25">
      <c r="E170" s="86" t="s">
        <v>200</v>
      </c>
      <c r="F170" s="87"/>
      <c r="G170" s="87"/>
      <c r="H170" s="87"/>
      <c r="I170" s="87"/>
      <c r="J170" s="87"/>
      <c r="K170" s="87"/>
      <c r="L170" s="88"/>
      <c r="M170" s="2"/>
      <c r="N170" s="3"/>
      <c r="O170" s="3"/>
      <c r="P170" s="13"/>
      <c r="Q170" s="2"/>
      <c r="R170" s="13"/>
      <c r="S170" s="13"/>
      <c r="T170" s="5"/>
    </row>
    <row r="171" spans="2:20" x14ac:dyDescent="0.25">
      <c r="E171" s="65" t="s">
        <v>173</v>
      </c>
      <c r="F171" s="65" t="s">
        <v>174</v>
      </c>
      <c r="G171" s="65" t="s">
        <v>175</v>
      </c>
      <c r="H171" s="65" t="s">
        <v>176</v>
      </c>
      <c r="I171" s="65" t="s">
        <v>177</v>
      </c>
      <c r="J171" s="65" t="s">
        <v>55</v>
      </c>
      <c r="K171" s="65" t="s">
        <v>55</v>
      </c>
      <c r="L171" s="106" t="s">
        <v>178</v>
      </c>
      <c r="M171" s="73"/>
      <c r="N171" s="35"/>
      <c r="O171" s="35"/>
      <c r="P171" s="73"/>
      <c r="Q171" s="73"/>
      <c r="R171" s="73"/>
      <c r="S171" s="73"/>
      <c r="T171" s="73"/>
    </row>
    <row r="172" spans="2:20" x14ac:dyDescent="0.25">
      <c r="E172" s="66"/>
      <c r="F172" s="66"/>
      <c r="G172" s="66"/>
      <c r="H172" s="66"/>
      <c r="I172" s="66"/>
      <c r="J172" s="66"/>
      <c r="K172" s="66"/>
      <c r="L172" s="107"/>
      <c r="M172" s="65"/>
      <c r="N172" s="35"/>
      <c r="O172" s="35"/>
      <c r="P172" s="65"/>
      <c r="Q172" s="65"/>
      <c r="R172" s="65"/>
      <c r="S172" s="65"/>
      <c r="T172" s="65"/>
    </row>
    <row r="173" spans="2:20" x14ac:dyDescent="0.25">
      <c r="B173" s="38"/>
      <c r="C173" s="38"/>
      <c r="E173" s="12">
        <v>1</v>
      </c>
      <c r="F173" s="12">
        <v>1</v>
      </c>
      <c r="G173" s="12">
        <v>1</v>
      </c>
      <c r="H173" s="12">
        <v>1</v>
      </c>
      <c r="I173" s="12">
        <v>0</v>
      </c>
      <c r="J173" s="36">
        <v>0</v>
      </c>
      <c r="K173" s="36">
        <v>0</v>
      </c>
      <c r="L173" s="12">
        <v>1</v>
      </c>
      <c r="M173" s="2"/>
      <c r="N173" s="34" t="str">
        <f>CONCATENATE(E173,F173,G173,H173,I173,"0","0",L173)</f>
        <v>11110001</v>
      </c>
      <c r="O173" s="2"/>
      <c r="P173" s="13">
        <f>BIN2DEC(N173)</f>
        <v>241</v>
      </c>
      <c r="Q173" s="2" t="s">
        <v>172</v>
      </c>
      <c r="R173" s="13">
        <f>P173</f>
        <v>241</v>
      </c>
      <c r="S173" s="13" t="str">
        <f>IF(R173&lt;16,CONCATENATE("0x0",(DEC2HEX(R173))),CONCATENATE("0x",(DEC2HEX(R173))))</f>
        <v>0xF1</v>
      </c>
      <c r="T173" s="5" t="str">
        <f>DEC2BIN(R173,8)</f>
        <v>11110001</v>
      </c>
    </row>
  </sheetData>
  <mergeCells count="272">
    <mergeCell ref="A8:C9"/>
    <mergeCell ref="E8:L8"/>
    <mergeCell ref="E9:L9"/>
    <mergeCell ref="A10:C10"/>
    <mergeCell ref="E10:L11"/>
    <mergeCell ref="M10:M11"/>
    <mergeCell ref="S3:S4"/>
    <mergeCell ref="T3:T4"/>
    <mergeCell ref="E5:L5"/>
    <mergeCell ref="A6:C6"/>
    <mergeCell ref="E6:L6"/>
    <mergeCell ref="E7:L7"/>
    <mergeCell ref="E3:L4"/>
    <mergeCell ref="M3:M4"/>
    <mergeCell ref="N3:O4"/>
    <mergeCell ref="P3:P4"/>
    <mergeCell ref="Q3:Q4"/>
    <mergeCell ref="R3:R4"/>
    <mergeCell ref="E15:L15"/>
    <mergeCell ref="E16:L16"/>
    <mergeCell ref="E17:L19"/>
    <mergeCell ref="M17:M19"/>
    <mergeCell ref="N17:N19"/>
    <mergeCell ref="O17:O19"/>
    <mergeCell ref="N10:N11"/>
    <mergeCell ref="O10:O11"/>
    <mergeCell ref="P10:P11"/>
    <mergeCell ref="E12:L12"/>
    <mergeCell ref="E13:L13"/>
    <mergeCell ref="E14:L14"/>
    <mergeCell ref="E24:L24"/>
    <mergeCell ref="E25:L27"/>
    <mergeCell ref="M25:M27"/>
    <mergeCell ref="N25:N27"/>
    <mergeCell ref="O25:O27"/>
    <mergeCell ref="P25:P27"/>
    <mergeCell ref="P17:P19"/>
    <mergeCell ref="E20:L20"/>
    <mergeCell ref="E21:L23"/>
    <mergeCell ref="M21:M23"/>
    <mergeCell ref="N21:N23"/>
    <mergeCell ref="O21:O23"/>
    <mergeCell ref="P21:P23"/>
    <mergeCell ref="E32:L32"/>
    <mergeCell ref="E33:L35"/>
    <mergeCell ref="M33:M35"/>
    <mergeCell ref="N33:N35"/>
    <mergeCell ref="O33:O35"/>
    <mergeCell ref="P33:P35"/>
    <mergeCell ref="E28:L28"/>
    <mergeCell ref="E29:L31"/>
    <mergeCell ref="M29:M31"/>
    <mergeCell ref="N29:N31"/>
    <mergeCell ref="O29:O31"/>
    <mergeCell ref="P29:P31"/>
    <mergeCell ref="E41:L41"/>
    <mergeCell ref="E42:L42"/>
    <mergeCell ref="E43:L43"/>
    <mergeCell ref="E44:H44"/>
    <mergeCell ref="I44:L44"/>
    <mergeCell ref="E45:H45"/>
    <mergeCell ref="I45:L45"/>
    <mergeCell ref="E36:L36"/>
    <mergeCell ref="E37:L37"/>
    <mergeCell ref="E38:L38"/>
    <mergeCell ref="E39:H39"/>
    <mergeCell ref="I39:L39"/>
    <mergeCell ref="E40:H40"/>
    <mergeCell ref="I40:L40"/>
    <mergeCell ref="E52:L52"/>
    <mergeCell ref="E53:G53"/>
    <mergeCell ref="H53:J53"/>
    <mergeCell ref="K53:L53"/>
    <mergeCell ref="E54:G54"/>
    <mergeCell ref="E55:L55"/>
    <mergeCell ref="E46:L46"/>
    <mergeCell ref="E47:L47"/>
    <mergeCell ref="E48:L48"/>
    <mergeCell ref="E49:L49"/>
    <mergeCell ref="E50:L50"/>
    <mergeCell ref="E51:L51"/>
    <mergeCell ref="E60:L60"/>
    <mergeCell ref="E61:L61"/>
    <mergeCell ref="E62:L62"/>
    <mergeCell ref="E63:G63"/>
    <mergeCell ref="H63:J63"/>
    <mergeCell ref="K63:L63"/>
    <mergeCell ref="E56:L56"/>
    <mergeCell ref="E57:L57"/>
    <mergeCell ref="E58:G58"/>
    <mergeCell ref="H58:J58"/>
    <mergeCell ref="K58:L58"/>
    <mergeCell ref="E59:G59"/>
    <mergeCell ref="P66:P68"/>
    <mergeCell ref="E69:L69"/>
    <mergeCell ref="E70:L72"/>
    <mergeCell ref="M70:M72"/>
    <mergeCell ref="N70:N72"/>
    <mergeCell ref="O70:O72"/>
    <mergeCell ref="P70:P72"/>
    <mergeCell ref="E64:G64"/>
    <mergeCell ref="E65:L65"/>
    <mergeCell ref="E66:L68"/>
    <mergeCell ref="M66:M68"/>
    <mergeCell ref="N66:N68"/>
    <mergeCell ref="O66:O68"/>
    <mergeCell ref="M78:M80"/>
    <mergeCell ref="N78:N80"/>
    <mergeCell ref="O78:O80"/>
    <mergeCell ref="P78:P80"/>
    <mergeCell ref="E73:L73"/>
    <mergeCell ref="E74:L76"/>
    <mergeCell ref="M74:M76"/>
    <mergeCell ref="N74:N76"/>
    <mergeCell ref="O74:O76"/>
    <mergeCell ref="P74:P76"/>
    <mergeCell ref="E81:L81"/>
    <mergeCell ref="E82:L82"/>
    <mergeCell ref="E83:L83"/>
    <mergeCell ref="E84:H84"/>
    <mergeCell ref="I84:L84"/>
    <mergeCell ref="E85:H85"/>
    <mergeCell ref="I85:L85"/>
    <mergeCell ref="E77:L77"/>
    <mergeCell ref="E78:L80"/>
    <mergeCell ref="E91:L91"/>
    <mergeCell ref="E92:L94"/>
    <mergeCell ref="M92:M94"/>
    <mergeCell ref="N92:N94"/>
    <mergeCell ref="O92:O94"/>
    <mergeCell ref="P92:P94"/>
    <mergeCell ref="E86:L86"/>
    <mergeCell ref="E87:L87"/>
    <mergeCell ref="E88:L88"/>
    <mergeCell ref="E89:H89"/>
    <mergeCell ref="I89:L89"/>
    <mergeCell ref="E90:H90"/>
    <mergeCell ref="I90:L90"/>
    <mergeCell ref="E99:L99"/>
    <mergeCell ref="E100:L102"/>
    <mergeCell ref="M100:M102"/>
    <mergeCell ref="N100:N102"/>
    <mergeCell ref="O100:O102"/>
    <mergeCell ref="P100:P102"/>
    <mergeCell ref="E95:L95"/>
    <mergeCell ref="E96:L98"/>
    <mergeCell ref="M96:M98"/>
    <mergeCell ref="N96:N98"/>
    <mergeCell ref="O96:O98"/>
    <mergeCell ref="P96:P98"/>
    <mergeCell ref="E107:L107"/>
    <mergeCell ref="E108:L110"/>
    <mergeCell ref="M108:M110"/>
    <mergeCell ref="N108:N110"/>
    <mergeCell ref="O108:O110"/>
    <mergeCell ref="P108:P110"/>
    <mergeCell ref="E103:L103"/>
    <mergeCell ref="E104:L106"/>
    <mergeCell ref="M104:M106"/>
    <mergeCell ref="N104:N106"/>
    <mergeCell ref="O104:O106"/>
    <mergeCell ref="P104:P106"/>
    <mergeCell ref="E115:L115"/>
    <mergeCell ref="E116:L118"/>
    <mergeCell ref="M116:M118"/>
    <mergeCell ref="N116:N118"/>
    <mergeCell ref="O116:O118"/>
    <mergeCell ref="P116:P118"/>
    <mergeCell ref="E111:L111"/>
    <mergeCell ref="E112:L114"/>
    <mergeCell ref="M112:M114"/>
    <mergeCell ref="N112:N114"/>
    <mergeCell ref="O112:O114"/>
    <mergeCell ref="P112:P114"/>
    <mergeCell ref="E123:L123"/>
    <mergeCell ref="E124:L126"/>
    <mergeCell ref="M124:M126"/>
    <mergeCell ref="N124:N126"/>
    <mergeCell ref="O124:O126"/>
    <mergeCell ref="P124:P126"/>
    <mergeCell ref="E119:L119"/>
    <mergeCell ref="E120:L122"/>
    <mergeCell ref="M120:M122"/>
    <mergeCell ref="N120:N122"/>
    <mergeCell ref="O120:O122"/>
    <mergeCell ref="P120:P122"/>
    <mergeCell ref="E131:L131"/>
    <mergeCell ref="E132:L134"/>
    <mergeCell ref="M132:M134"/>
    <mergeCell ref="N132:N134"/>
    <mergeCell ref="O132:O134"/>
    <mergeCell ref="P132:P134"/>
    <mergeCell ref="E127:L127"/>
    <mergeCell ref="E128:L130"/>
    <mergeCell ref="M128:M130"/>
    <mergeCell ref="N128:N130"/>
    <mergeCell ref="O128:O130"/>
    <mergeCell ref="P128:P130"/>
    <mergeCell ref="E139:L139"/>
    <mergeCell ref="E140:L142"/>
    <mergeCell ref="M140:M142"/>
    <mergeCell ref="N140:N142"/>
    <mergeCell ref="O140:O142"/>
    <mergeCell ref="P140:P142"/>
    <mergeCell ref="E135:L135"/>
    <mergeCell ref="E136:L138"/>
    <mergeCell ref="M136:M138"/>
    <mergeCell ref="N136:N138"/>
    <mergeCell ref="O136:O138"/>
    <mergeCell ref="P136:P138"/>
    <mergeCell ref="M148:M150"/>
    <mergeCell ref="N148:N150"/>
    <mergeCell ref="O148:O150"/>
    <mergeCell ref="P148:P150"/>
    <mergeCell ref="E143:L143"/>
    <mergeCell ref="E144:L146"/>
    <mergeCell ref="M144:M146"/>
    <mergeCell ref="N144:N146"/>
    <mergeCell ref="O144:O146"/>
    <mergeCell ref="P144:P146"/>
    <mergeCell ref="E151:L151"/>
    <mergeCell ref="E152:L152"/>
    <mergeCell ref="E153:L153"/>
    <mergeCell ref="E154:H154"/>
    <mergeCell ref="I154:L154"/>
    <mergeCell ref="E155:H155"/>
    <mergeCell ref="I155:L155"/>
    <mergeCell ref="E147:L147"/>
    <mergeCell ref="E148:L150"/>
    <mergeCell ref="E160:L160"/>
    <mergeCell ref="E161:F161"/>
    <mergeCell ref="G161:H161"/>
    <mergeCell ref="I161:J161"/>
    <mergeCell ref="K161:L161"/>
    <mergeCell ref="E162:L162"/>
    <mergeCell ref="E156:L156"/>
    <mergeCell ref="E158:L158"/>
    <mergeCell ref="E159:F159"/>
    <mergeCell ref="G159:H159"/>
    <mergeCell ref="I159:J159"/>
    <mergeCell ref="K159:L159"/>
    <mergeCell ref="M167:M168"/>
    <mergeCell ref="P167:P168"/>
    <mergeCell ref="Q167:Q168"/>
    <mergeCell ref="R167:R168"/>
    <mergeCell ref="S167:S168"/>
    <mergeCell ref="T167:T168"/>
    <mergeCell ref="E163:L163"/>
    <mergeCell ref="E166:L166"/>
    <mergeCell ref="E167:E168"/>
    <mergeCell ref="F167:F168"/>
    <mergeCell ref="G167:G168"/>
    <mergeCell ref="H167:H168"/>
    <mergeCell ref="I167:I168"/>
    <mergeCell ref="J167:J168"/>
    <mergeCell ref="K167:K168"/>
    <mergeCell ref="L167:L168"/>
    <mergeCell ref="M171:M172"/>
    <mergeCell ref="P171:P172"/>
    <mergeCell ref="Q171:Q172"/>
    <mergeCell ref="R171:R172"/>
    <mergeCell ref="S171:S172"/>
    <mergeCell ref="T171:T172"/>
    <mergeCell ref="E170:L170"/>
    <mergeCell ref="E171:E172"/>
    <mergeCell ref="F171:F172"/>
    <mergeCell ref="G171:G172"/>
    <mergeCell ref="H171:H172"/>
    <mergeCell ref="I171:I172"/>
    <mergeCell ref="J171:J172"/>
    <mergeCell ref="K171:K172"/>
    <mergeCell ref="L171:L172"/>
  </mergeCells>
  <pageMargins left="0.7" right="0.7" top="0.75" bottom="0.75" header="0.3" footer="0.3"/>
  <pageSetup orientation="portrait" r:id="rId1"/>
  <drawing r:id="rId2"/>
  <legacyDrawing r:id="rId3"/>
  <controls>
    <mc:AlternateContent xmlns:mc="http://schemas.openxmlformats.org/markup-compatibility/2006">
      <mc:Choice Requires="x14">
        <control shapeId="10241" r:id="rId4" name="btnGenerateFile">
          <controlPr defaultSize="0" autoLine="0" r:id="rId5">
            <anchor moveWithCells="1">
              <from>
                <xdr:col>9</xdr:col>
                <xdr:colOff>600075</xdr:colOff>
                <xdr:row>176</xdr:row>
                <xdr:rowOff>104775</xdr:rowOff>
              </from>
              <to>
                <xdr:col>13</xdr:col>
                <xdr:colOff>333375</xdr:colOff>
                <xdr:row>180</xdr:row>
                <xdr:rowOff>95250</xdr:rowOff>
              </to>
            </anchor>
          </controlPr>
        </control>
      </mc:Choice>
      <mc:Fallback>
        <control shapeId="10241" r:id="rId4" name="btnGenerateFi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FCA4978A-29A5-46CB-B47D-841B78B2E862}">
          <x14:formula1>
            <xm:f>Variables!$F$7:$F$12</xm:f>
          </x14:formula1>
          <xm:sqref>E163:L163</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132ED6-0DE8-4B0E-B217-A0C425BC8CB6}">
  <sheetPr codeName="Sheet3"/>
  <dimension ref="A3:T173"/>
  <sheetViews>
    <sheetView workbookViewId="0">
      <pane ySplit="4" topLeftCell="A5" activePane="bottomLeft" state="frozen"/>
      <selection pane="bottomLeft" activeCell="N6" sqref="N6:N35"/>
    </sheetView>
  </sheetViews>
  <sheetFormatPr defaultRowHeight="15" x14ac:dyDescent="0.25"/>
  <cols>
    <col min="2" max="3" width="10.5703125" customWidth="1"/>
    <col min="16" max="16" width="9.42578125" customWidth="1"/>
  </cols>
  <sheetData>
    <row r="3" spans="1:20" x14ac:dyDescent="0.25">
      <c r="E3" s="73" t="s">
        <v>9</v>
      </c>
      <c r="F3" s="73"/>
      <c r="G3" s="73"/>
      <c r="H3" s="73"/>
      <c r="I3" s="73"/>
      <c r="J3" s="73"/>
      <c r="K3" s="73"/>
      <c r="L3" s="73"/>
      <c r="M3" s="65" t="s">
        <v>10</v>
      </c>
      <c r="N3" s="73" t="s">
        <v>30</v>
      </c>
      <c r="O3" s="73"/>
      <c r="P3" s="67" t="s">
        <v>11</v>
      </c>
      <c r="Q3" s="67" t="s">
        <v>14</v>
      </c>
      <c r="R3" s="67" t="s">
        <v>11</v>
      </c>
      <c r="S3" s="67" t="s">
        <v>12</v>
      </c>
      <c r="T3" s="68" t="s">
        <v>88</v>
      </c>
    </row>
    <row r="4" spans="1:20" x14ac:dyDescent="0.25">
      <c r="E4" s="73"/>
      <c r="F4" s="73"/>
      <c r="G4" s="73"/>
      <c r="H4" s="73"/>
      <c r="I4" s="73"/>
      <c r="J4" s="73"/>
      <c r="K4" s="73"/>
      <c r="L4" s="73"/>
      <c r="M4" s="66"/>
      <c r="N4" s="73"/>
      <c r="O4" s="73"/>
      <c r="P4" s="67"/>
      <c r="Q4" s="67"/>
      <c r="R4" s="67"/>
      <c r="S4" s="67"/>
      <c r="T4" s="68"/>
    </row>
    <row r="5" spans="1:20" ht="15.75" thickBot="1" x14ac:dyDescent="0.3">
      <c r="E5" s="57" t="s">
        <v>16</v>
      </c>
      <c r="F5" s="57"/>
      <c r="G5" s="57"/>
      <c r="H5" s="57"/>
      <c r="I5" s="57"/>
      <c r="J5" s="57"/>
      <c r="K5" s="57"/>
      <c r="L5" s="57"/>
      <c r="N5" s="4"/>
      <c r="O5" s="7"/>
      <c r="P5" s="9"/>
      <c r="Q5" s="2" t="s">
        <v>15</v>
      </c>
      <c r="R5" s="13">
        <f>_xlfn.BITAND(P6,255)</f>
        <v>8</v>
      </c>
      <c r="S5" s="13" t="str">
        <f>IF(R5&lt;16,CONCATENATE("0x0",(DEC2HEX(R5))),CONCATENATE("0x",(DEC2HEX(R5))))</f>
        <v>0x08</v>
      </c>
      <c r="T5" s="5" t="str">
        <f>DEC2BIN(R5,8)</f>
        <v>00001000</v>
      </c>
    </row>
    <row r="6" spans="1:20" ht="15.75" thickBot="1" x14ac:dyDescent="0.3">
      <c r="A6" s="69" t="s">
        <v>199</v>
      </c>
      <c r="B6" s="70"/>
      <c r="C6" s="71"/>
      <c r="E6" s="72">
        <v>4.21</v>
      </c>
      <c r="F6" s="72"/>
      <c r="G6" s="72"/>
      <c r="H6" s="72"/>
      <c r="I6" s="72"/>
      <c r="J6" s="72"/>
      <c r="K6" s="72"/>
      <c r="L6" s="72"/>
      <c r="M6" s="18" t="s">
        <v>5</v>
      </c>
      <c r="N6" s="5">
        <f>(P6*Variables!C1/Variables!C3)*Variables!C2</f>
        <v>4.2104029304029362</v>
      </c>
      <c r="O6" s="2" t="s">
        <v>5</v>
      </c>
      <c r="P6" s="5">
        <f>(IF(E6&lt;0,0,IF(E6&gt;4.8,4095,ROUND((E6/Variables!F3),0))))</f>
        <v>3592</v>
      </c>
      <c r="Q6" s="25"/>
      <c r="R6" s="25"/>
      <c r="S6" s="2"/>
      <c r="T6" s="1"/>
    </row>
    <row r="7" spans="1:20" ht="15.75" thickBot="1" x14ac:dyDescent="0.3">
      <c r="E7" s="57" t="s">
        <v>0</v>
      </c>
      <c r="F7" s="57"/>
      <c r="G7" s="57"/>
      <c r="H7" s="57"/>
      <c r="I7" s="57"/>
      <c r="J7" s="57"/>
      <c r="K7" s="57"/>
      <c r="L7" s="57"/>
      <c r="N7" s="4"/>
      <c r="O7" s="8"/>
      <c r="P7" s="10"/>
      <c r="Q7" s="2" t="s">
        <v>13</v>
      </c>
      <c r="R7" s="13">
        <f>(P8*2^4)+((_xlfn.BITAND(P6,3840))/(2^8))</f>
        <v>30</v>
      </c>
      <c r="S7" s="13" t="str">
        <f>IF(R7&lt;16,CONCATENATE("0x0",(DEC2HEX(R7))),CONCATENATE("0x",(DEC2HEX(R7))))</f>
        <v>0x1E</v>
      </c>
      <c r="T7" s="5" t="str">
        <f>DEC2BIN(R7,8)</f>
        <v>00011110</v>
      </c>
    </row>
    <row r="8" spans="1:20" x14ac:dyDescent="0.25">
      <c r="A8" s="48" t="s">
        <v>198</v>
      </c>
      <c r="B8" s="49"/>
      <c r="C8" s="50"/>
      <c r="E8" s="54">
        <v>1</v>
      </c>
      <c r="F8" s="55"/>
      <c r="G8" s="55"/>
      <c r="H8" s="55"/>
      <c r="I8" s="55"/>
      <c r="J8" s="55"/>
      <c r="K8" s="55"/>
      <c r="L8" s="56"/>
      <c r="M8" s="18" t="s">
        <v>4</v>
      </c>
      <c r="N8" s="5">
        <f>(IF(E8&lt;0,0,IF(E8&gt;15,15,ROUND(E8,0))))</f>
        <v>1</v>
      </c>
      <c r="O8" s="16" t="s">
        <v>4</v>
      </c>
      <c r="P8" s="5">
        <f>N8</f>
        <v>1</v>
      </c>
      <c r="Q8" s="25"/>
      <c r="R8" s="25"/>
      <c r="S8" s="2"/>
      <c r="T8" s="1"/>
    </row>
    <row r="9" spans="1:20" ht="15.75" thickBot="1" x14ac:dyDescent="0.3">
      <c r="A9" s="51"/>
      <c r="B9" s="52"/>
      <c r="C9" s="53"/>
      <c r="E9" s="57" t="s">
        <v>17</v>
      </c>
      <c r="F9" s="57"/>
      <c r="G9" s="57"/>
      <c r="H9" s="57"/>
      <c r="I9" s="57"/>
      <c r="J9" s="57"/>
      <c r="K9" s="57"/>
      <c r="L9" s="57"/>
      <c r="M9" s="1"/>
      <c r="P9" s="1"/>
      <c r="Q9" s="2" t="s">
        <v>18</v>
      </c>
      <c r="R9" s="13">
        <f>_xlfn.BITAND(P10,255)</f>
        <v>238</v>
      </c>
      <c r="S9" s="13" t="str">
        <f>IF(R9&lt;16,CONCATENATE("0x0",(DEC2HEX(R9))),CONCATENATE("0x",(DEC2HEX(R9))))</f>
        <v>0xEE</v>
      </c>
      <c r="T9" s="5" t="str">
        <f>DEC2BIN(R9,8)</f>
        <v>11101110</v>
      </c>
    </row>
    <row r="10" spans="1:20" x14ac:dyDescent="0.25">
      <c r="A10" s="58" t="s">
        <v>197</v>
      </c>
      <c r="B10" s="58"/>
      <c r="C10" s="58"/>
      <c r="E10" s="59">
        <v>4.18</v>
      </c>
      <c r="F10" s="60"/>
      <c r="G10" s="60"/>
      <c r="H10" s="60"/>
      <c r="I10" s="60"/>
      <c r="J10" s="60"/>
      <c r="K10" s="60"/>
      <c r="L10" s="61"/>
      <c r="M10" s="65" t="s">
        <v>5</v>
      </c>
      <c r="N10" s="76">
        <f>(P10*Variables!C1/Variables!C3)*Variables!C2</f>
        <v>4.1799267399267448</v>
      </c>
      <c r="O10" s="77" t="s">
        <v>5</v>
      </c>
      <c r="P10" s="79">
        <f>(IF(E10&lt;0,0,IF(E10&gt;4.8,4095,ROUND((E10/Variables!F3),0))))</f>
        <v>3566</v>
      </c>
      <c r="Q10" s="2"/>
      <c r="R10" s="3"/>
      <c r="S10" s="2"/>
      <c r="T10" s="1"/>
    </row>
    <row r="11" spans="1:20" x14ac:dyDescent="0.25">
      <c r="E11" s="62"/>
      <c r="F11" s="63"/>
      <c r="G11" s="63"/>
      <c r="H11" s="63"/>
      <c r="I11" s="63"/>
      <c r="J11" s="63"/>
      <c r="K11" s="63"/>
      <c r="L11" s="64"/>
      <c r="M11" s="66"/>
      <c r="N11" s="76"/>
      <c r="O11" s="78"/>
      <c r="P11" s="80"/>
      <c r="Q11" s="2" t="s">
        <v>19</v>
      </c>
      <c r="R11" s="13">
        <f>((_xlfn.BITAND(P10,3840))/(2^8))</f>
        <v>13</v>
      </c>
      <c r="S11" s="13" t="str">
        <f>IF(R11&lt;16,CONCATENATE("0x0",(DEC2HEX(R11))),CONCATENATE("0x",(DEC2HEX(R11))))</f>
        <v>0x0D</v>
      </c>
      <c r="T11" s="5" t="str">
        <f>DEC2BIN(R11,8)</f>
        <v>00001101</v>
      </c>
    </row>
    <row r="12" spans="1:20" x14ac:dyDescent="0.25">
      <c r="E12" s="57" t="s">
        <v>20</v>
      </c>
      <c r="F12" s="57"/>
      <c r="G12" s="57"/>
      <c r="H12" s="57"/>
      <c r="I12" s="57"/>
      <c r="J12" s="57"/>
      <c r="K12" s="57"/>
      <c r="L12" s="57"/>
      <c r="M12" s="4"/>
      <c r="N12" s="14"/>
      <c r="O12" s="6"/>
      <c r="P12" s="14"/>
      <c r="Q12" s="2"/>
      <c r="R12" s="3"/>
      <c r="S12" s="2"/>
      <c r="T12" s="1"/>
    </row>
    <row r="13" spans="1:20" x14ac:dyDescent="0.25">
      <c r="E13" s="72">
        <v>2.6</v>
      </c>
      <c r="F13" s="72"/>
      <c r="G13" s="72"/>
      <c r="H13" s="72"/>
      <c r="I13" s="72"/>
      <c r="J13" s="72"/>
      <c r="K13" s="72"/>
      <c r="L13" s="72"/>
      <c r="M13" s="17" t="s">
        <v>5</v>
      </c>
      <c r="N13" s="5">
        <f>(P13*Variables!C1/Variables!C3)*Variables!C2</f>
        <v>2.5998534798534831</v>
      </c>
      <c r="O13" s="2" t="s">
        <v>5</v>
      </c>
      <c r="P13" s="5">
        <f>(IF(E13&lt;0,0,IF(E13&gt;4.8,4095,ROUND((E13/Variables!F3),0))))</f>
        <v>2218</v>
      </c>
      <c r="Q13" s="2" t="s">
        <v>21</v>
      </c>
      <c r="R13" s="13">
        <f>_xlfn.BITAND(P13,255)</f>
        <v>170</v>
      </c>
      <c r="S13" s="13" t="str">
        <f>IF(R13&lt;16,CONCATENATE("0x0",(DEC2HEX(R13))),CONCATENATE("0x",(DEC2HEX(R13))))</f>
        <v>0xAA</v>
      </c>
      <c r="T13" s="5" t="str">
        <f>DEC2BIN(R13,8)</f>
        <v>10101010</v>
      </c>
    </row>
    <row r="14" spans="1:20" x14ac:dyDescent="0.25">
      <c r="E14" s="74" t="s">
        <v>23</v>
      </c>
      <c r="F14" s="74"/>
      <c r="G14" s="74"/>
      <c r="H14" s="74"/>
      <c r="I14" s="74"/>
      <c r="J14" s="74"/>
      <c r="K14" s="74"/>
      <c r="L14" s="74"/>
      <c r="M14" s="1"/>
      <c r="N14" s="15"/>
      <c r="P14" s="14"/>
      <c r="Q14" s="2"/>
      <c r="R14" s="2"/>
      <c r="S14" s="2"/>
      <c r="T14" s="1"/>
    </row>
    <row r="15" spans="1:20" x14ac:dyDescent="0.25">
      <c r="E15" s="72">
        <v>1</v>
      </c>
      <c r="F15" s="72"/>
      <c r="G15" s="72"/>
      <c r="H15" s="72"/>
      <c r="I15" s="72"/>
      <c r="J15" s="72"/>
      <c r="K15" s="72"/>
      <c r="L15" s="72"/>
      <c r="M15" s="2" t="s">
        <v>4</v>
      </c>
      <c r="N15" s="5">
        <f>(IF(E15&lt;0,0,IF(E15&gt;15,15,ROUND(E15,0))))</f>
        <v>1</v>
      </c>
      <c r="O15" s="2" t="s">
        <v>4</v>
      </c>
      <c r="P15" s="5">
        <f>N15</f>
        <v>1</v>
      </c>
      <c r="Q15" s="2" t="s">
        <v>22</v>
      </c>
      <c r="R15" s="13">
        <f>(P15*2^4)+((_xlfn.BITAND(P13,3840))/(2^8))</f>
        <v>24</v>
      </c>
      <c r="S15" s="13" t="str">
        <f>IF(R15&lt;16,CONCATENATE("0x0",(DEC2HEX(R15))),CONCATENATE("0x",(DEC2HEX(R15))))</f>
        <v>0x18</v>
      </c>
      <c r="T15" s="5" t="str">
        <f>DEC2BIN(R15,8)</f>
        <v>00011000</v>
      </c>
    </row>
    <row r="16" spans="1:20" x14ac:dyDescent="0.25">
      <c r="E16" s="74" t="s">
        <v>24</v>
      </c>
      <c r="F16" s="74"/>
      <c r="G16" s="74"/>
      <c r="H16" s="74"/>
      <c r="I16" s="74"/>
      <c r="J16" s="74"/>
      <c r="K16" s="74"/>
      <c r="L16" s="74"/>
      <c r="M16" s="2"/>
      <c r="P16" s="14"/>
      <c r="Q16" s="3"/>
      <c r="R16" s="2"/>
      <c r="S16" s="2"/>
      <c r="T16" s="1"/>
    </row>
    <row r="17" spans="5:20" x14ac:dyDescent="0.25">
      <c r="E17" s="75">
        <v>2.8</v>
      </c>
      <c r="F17" s="75"/>
      <c r="G17" s="75"/>
      <c r="H17" s="75"/>
      <c r="I17" s="75"/>
      <c r="J17" s="75"/>
      <c r="K17" s="75"/>
      <c r="L17" s="75"/>
      <c r="M17" s="73" t="s">
        <v>5</v>
      </c>
      <c r="N17" s="76">
        <f>(P17*Variables!C1/Variables!C3)*Variables!C2</f>
        <v>2.8002930402930435</v>
      </c>
      <c r="O17" s="73" t="s">
        <v>5</v>
      </c>
      <c r="P17" s="76">
        <f>(IF(E17&lt;0,0,IF(E17&gt;4.8,4095,ROUND((E17/Variables!F3),0))))</f>
        <v>2389</v>
      </c>
      <c r="Q17" s="2" t="s">
        <v>25</v>
      </c>
      <c r="R17" s="13">
        <f>_xlfn.BITAND(P17,255)</f>
        <v>85</v>
      </c>
      <c r="S17" s="13" t="str">
        <f>IF(R17&lt;16,CONCATENATE("0x0",(DEC2HEX(R17))),CONCATENATE("0x",(DEC2HEX(R17))))</f>
        <v>0x55</v>
      </c>
      <c r="T17" s="5" t="str">
        <f>DEC2BIN(R17,8)</f>
        <v>01010101</v>
      </c>
    </row>
    <row r="18" spans="5:20" x14ac:dyDescent="0.25">
      <c r="E18" s="75"/>
      <c r="F18" s="75"/>
      <c r="G18" s="75"/>
      <c r="H18" s="75"/>
      <c r="I18" s="75"/>
      <c r="J18" s="75"/>
      <c r="K18" s="75"/>
      <c r="L18" s="75"/>
      <c r="M18" s="73"/>
      <c r="N18" s="76"/>
      <c r="O18" s="73"/>
      <c r="P18" s="76"/>
      <c r="Q18" s="2"/>
      <c r="R18" s="2"/>
      <c r="S18" s="2"/>
      <c r="T18" s="1"/>
    </row>
    <row r="19" spans="5:20" x14ac:dyDescent="0.25">
      <c r="E19" s="75"/>
      <c r="F19" s="75"/>
      <c r="G19" s="75"/>
      <c r="H19" s="75"/>
      <c r="I19" s="75"/>
      <c r="J19" s="75"/>
      <c r="K19" s="75"/>
      <c r="L19" s="75"/>
      <c r="M19" s="73"/>
      <c r="N19" s="76"/>
      <c r="O19" s="73"/>
      <c r="P19" s="76"/>
      <c r="Q19" s="2" t="s">
        <v>26</v>
      </c>
      <c r="R19" s="13">
        <f>((_xlfn.BITAND(P17,3840))/(2^8))</f>
        <v>9</v>
      </c>
      <c r="S19" s="13" t="str">
        <f>IF(R19&lt;16,CONCATENATE("0x0",(DEC2HEX(R19))),CONCATENATE("0x",(DEC2HEX(R19))))</f>
        <v>0x09</v>
      </c>
      <c r="T19" s="5" t="str">
        <f>DEC2BIN(R19,8)</f>
        <v>00001001</v>
      </c>
    </row>
    <row r="20" spans="5:20" x14ac:dyDescent="0.25">
      <c r="E20" s="57" t="s">
        <v>27</v>
      </c>
      <c r="F20" s="57"/>
      <c r="G20" s="57"/>
      <c r="H20" s="57"/>
      <c r="I20" s="57"/>
      <c r="J20" s="57"/>
      <c r="K20" s="57"/>
      <c r="L20" s="57"/>
      <c r="M20" s="1"/>
      <c r="P20" s="1"/>
      <c r="Q20" s="3"/>
      <c r="R20" s="2"/>
      <c r="S20" s="2"/>
      <c r="T20" s="1"/>
    </row>
    <row r="21" spans="5:20" x14ac:dyDescent="0.25">
      <c r="E21" s="75">
        <v>4.3</v>
      </c>
      <c r="F21" s="75"/>
      <c r="G21" s="75"/>
      <c r="H21" s="75"/>
      <c r="I21" s="75"/>
      <c r="J21" s="75"/>
      <c r="K21" s="75"/>
      <c r="L21" s="75"/>
      <c r="M21" s="73" t="s">
        <v>5</v>
      </c>
      <c r="N21" s="79">
        <f>(P21*Variables!C1/Variables!C3)*Variables!C2</f>
        <v>4.2994871794871852</v>
      </c>
      <c r="O21" s="73" t="s">
        <v>5</v>
      </c>
      <c r="P21" s="76">
        <f>(IF(E21&lt;0,0,IF(E21&gt;4.8,4095,ROUND((E21/Variables!F3),0))))</f>
        <v>3668</v>
      </c>
      <c r="Q21" s="2" t="s">
        <v>28</v>
      </c>
      <c r="R21" s="13">
        <f>_xlfn.BITAND(P21,255)</f>
        <v>84</v>
      </c>
      <c r="S21" s="13" t="str">
        <f>IF(R21&lt;16,CONCATENATE("0x0",(DEC2HEX(R21))),CONCATENATE("0x",(DEC2HEX(R21))))</f>
        <v>0x54</v>
      </c>
      <c r="T21" s="5" t="str">
        <f>DEC2BIN(R21,8)</f>
        <v>01010100</v>
      </c>
    </row>
    <row r="22" spans="5:20" x14ac:dyDescent="0.25">
      <c r="E22" s="75"/>
      <c r="F22" s="75"/>
      <c r="G22" s="75"/>
      <c r="H22" s="75"/>
      <c r="I22" s="75"/>
      <c r="J22" s="75"/>
      <c r="K22" s="75"/>
      <c r="L22" s="75"/>
      <c r="M22" s="73"/>
      <c r="N22" s="82"/>
      <c r="O22" s="73"/>
      <c r="P22" s="76"/>
      <c r="Q22" s="2"/>
      <c r="R22" s="2"/>
      <c r="S22" s="2"/>
      <c r="T22" s="1"/>
    </row>
    <row r="23" spans="5:20" x14ac:dyDescent="0.25">
      <c r="E23" s="75"/>
      <c r="F23" s="75"/>
      <c r="G23" s="75"/>
      <c r="H23" s="75"/>
      <c r="I23" s="75"/>
      <c r="J23" s="75"/>
      <c r="K23" s="75"/>
      <c r="L23" s="75"/>
      <c r="M23" s="73"/>
      <c r="N23" s="80"/>
      <c r="O23" s="73"/>
      <c r="P23" s="76"/>
      <c r="Q23" s="2" t="s">
        <v>29</v>
      </c>
      <c r="R23" s="13">
        <f>((_xlfn.BITAND(P21,3840))/(2^8))</f>
        <v>14</v>
      </c>
      <c r="S23" s="13" t="str">
        <f>IF(R23&lt;16,CONCATENATE("0x0",(DEC2HEX(R23))),CONCATENATE("0x",(DEC2HEX(R23))))</f>
        <v>0x0E</v>
      </c>
      <c r="T23" s="5" t="str">
        <f>DEC2BIN(R23,8)</f>
        <v>00001110</v>
      </c>
    </row>
    <row r="24" spans="5:20" x14ac:dyDescent="0.25">
      <c r="E24" s="57" t="s">
        <v>31</v>
      </c>
      <c r="F24" s="57"/>
      <c r="G24" s="57"/>
      <c r="H24" s="57"/>
      <c r="I24" s="57"/>
      <c r="J24" s="57"/>
      <c r="K24" s="57"/>
      <c r="L24" s="57"/>
      <c r="M24" s="1"/>
      <c r="P24" s="1"/>
      <c r="Q24" s="2"/>
      <c r="R24" s="2"/>
      <c r="S24" s="2"/>
      <c r="T24" s="1"/>
    </row>
    <row r="25" spans="5:20" x14ac:dyDescent="0.25">
      <c r="E25" s="75">
        <v>2.5</v>
      </c>
      <c r="F25" s="75"/>
      <c r="G25" s="75"/>
      <c r="H25" s="75"/>
      <c r="I25" s="75"/>
      <c r="J25" s="75"/>
      <c r="K25" s="75"/>
      <c r="L25" s="75"/>
      <c r="M25" s="73" t="s">
        <v>5</v>
      </c>
      <c r="N25" s="76">
        <f>(P25*Variables!C1/Variables!C3)*Variables!C2</f>
        <v>2.5002197802197834</v>
      </c>
      <c r="O25" s="65" t="s">
        <v>5</v>
      </c>
      <c r="P25" s="76">
        <f>(IF(E25&lt;0,0,IF(E25&gt;4.8,4095,ROUND((E25/Variables!F3),0))))</f>
        <v>2133</v>
      </c>
      <c r="Q25" s="2" t="s">
        <v>32</v>
      </c>
      <c r="R25" s="13">
        <f>_xlfn.BITAND(P25,255)</f>
        <v>85</v>
      </c>
      <c r="S25" s="13" t="str">
        <f>IF(R25&lt;16,CONCATENATE("0x0",(DEC2HEX(R25))),CONCATENATE("0x",(DEC2HEX(R25))))</f>
        <v>0x55</v>
      </c>
      <c r="T25" s="5" t="str">
        <f>DEC2BIN(R25,8)</f>
        <v>01010101</v>
      </c>
    </row>
    <row r="26" spans="5:20" x14ac:dyDescent="0.25">
      <c r="E26" s="75"/>
      <c r="F26" s="75"/>
      <c r="G26" s="75"/>
      <c r="H26" s="75"/>
      <c r="I26" s="75"/>
      <c r="J26" s="75"/>
      <c r="K26" s="75"/>
      <c r="L26" s="75"/>
      <c r="M26" s="73"/>
      <c r="N26" s="76"/>
      <c r="O26" s="81"/>
      <c r="P26" s="76"/>
      <c r="Q26" s="2"/>
      <c r="R26" s="2"/>
      <c r="S26" s="2"/>
      <c r="T26" s="1"/>
    </row>
    <row r="27" spans="5:20" x14ac:dyDescent="0.25">
      <c r="E27" s="75"/>
      <c r="F27" s="75"/>
      <c r="G27" s="75"/>
      <c r="H27" s="75"/>
      <c r="I27" s="75"/>
      <c r="J27" s="75"/>
      <c r="K27" s="75"/>
      <c r="L27" s="75"/>
      <c r="M27" s="73"/>
      <c r="N27" s="76"/>
      <c r="O27" s="66"/>
      <c r="P27" s="76"/>
      <c r="Q27" s="2" t="s">
        <v>33</v>
      </c>
      <c r="R27" s="13">
        <f>((_xlfn.BITAND(P25,3840))/(2^8))</f>
        <v>8</v>
      </c>
      <c r="S27" s="13" t="str">
        <f>IF(R27&lt;16,CONCATENATE("0x0",(DEC2HEX(R27))),CONCATENATE("0x",(DEC2HEX(R27))))</f>
        <v>0x08</v>
      </c>
      <c r="T27" s="5" t="str">
        <f>DEC2BIN(R27,8)</f>
        <v>00001000</v>
      </c>
    </row>
    <row r="28" spans="5:20" x14ac:dyDescent="0.25">
      <c r="E28" s="57" t="s">
        <v>34</v>
      </c>
      <c r="F28" s="57"/>
      <c r="G28" s="57"/>
      <c r="H28" s="57"/>
      <c r="I28" s="57"/>
      <c r="J28" s="57"/>
      <c r="K28" s="57"/>
      <c r="L28" s="57"/>
      <c r="M28" s="1"/>
      <c r="P28" s="1"/>
      <c r="Q28" s="2"/>
      <c r="R28" s="2"/>
      <c r="S28" s="2"/>
      <c r="T28" s="1"/>
    </row>
    <row r="29" spans="5:20" x14ac:dyDescent="0.25">
      <c r="E29" s="59">
        <v>4.18</v>
      </c>
      <c r="F29" s="60"/>
      <c r="G29" s="60"/>
      <c r="H29" s="60"/>
      <c r="I29" s="60"/>
      <c r="J29" s="60"/>
      <c r="K29" s="60"/>
      <c r="L29" s="61"/>
      <c r="M29" s="65" t="s">
        <v>5</v>
      </c>
      <c r="N29" s="76">
        <f>(P29*Variables!C1/Variables!C3)*Variables!C2</f>
        <v>4.1799267399267448</v>
      </c>
      <c r="O29" s="73" t="s">
        <v>5</v>
      </c>
      <c r="P29" s="76">
        <f>(IF(E29&lt;0,0,IF(E29&gt;4.8,4095,ROUND((E29/Variables!F3),0))))</f>
        <v>3566</v>
      </c>
      <c r="Q29" s="2" t="s">
        <v>35</v>
      </c>
      <c r="R29" s="13">
        <f>_xlfn.BITAND(P29,255)</f>
        <v>238</v>
      </c>
      <c r="S29" s="13" t="str">
        <f>IF(R29&lt;16,CONCATENATE("0x0",(DEC2HEX(R29))),CONCATENATE("0x",(DEC2HEX(R29))))</f>
        <v>0xEE</v>
      </c>
      <c r="T29" s="5" t="str">
        <f>DEC2BIN(R29,8)</f>
        <v>11101110</v>
      </c>
    </row>
    <row r="30" spans="5:20" x14ac:dyDescent="0.25">
      <c r="E30" s="83"/>
      <c r="F30" s="84"/>
      <c r="G30" s="84"/>
      <c r="H30" s="84"/>
      <c r="I30" s="84"/>
      <c r="J30" s="84"/>
      <c r="K30" s="84"/>
      <c r="L30" s="85"/>
      <c r="M30" s="81"/>
      <c r="N30" s="76"/>
      <c r="O30" s="73"/>
      <c r="P30" s="76"/>
      <c r="Q30" s="2"/>
      <c r="R30" s="2"/>
      <c r="S30" s="2"/>
      <c r="T30" s="1"/>
    </row>
    <row r="31" spans="5:20" x14ac:dyDescent="0.25">
      <c r="E31" s="62"/>
      <c r="F31" s="63"/>
      <c r="G31" s="63"/>
      <c r="H31" s="63"/>
      <c r="I31" s="63"/>
      <c r="J31" s="63"/>
      <c r="K31" s="63"/>
      <c r="L31" s="64"/>
      <c r="M31" s="66"/>
      <c r="N31" s="76"/>
      <c r="O31" s="73"/>
      <c r="P31" s="76"/>
      <c r="Q31" s="2" t="s">
        <v>38</v>
      </c>
      <c r="R31" s="13">
        <f>((_xlfn.BITAND(P29,3840))/(2^8))</f>
        <v>13</v>
      </c>
      <c r="S31" s="13" t="str">
        <f>IF(R31&lt;16,CONCATENATE("0x0",(DEC2HEX(R31))),CONCATENATE("0x",(DEC2HEX(R31))))</f>
        <v>0x0D</v>
      </c>
      <c r="T31" s="5" t="str">
        <f>DEC2BIN(R31,8)</f>
        <v>00001101</v>
      </c>
    </row>
    <row r="32" spans="5:20" x14ac:dyDescent="0.25">
      <c r="E32" s="57" t="s">
        <v>36</v>
      </c>
      <c r="F32" s="57"/>
      <c r="G32" s="57"/>
      <c r="H32" s="57"/>
      <c r="I32" s="57"/>
      <c r="J32" s="57"/>
      <c r="K32" s="57"/>
      <c r="L32" s="57"/>
      <c r="M32" s="1"/>
      <c r="P32" s="1"/>
      <c r="Q32" s="2"/>
      <c r="R32" s="2"/>
      <c r="S32" s="2"/>
      <c r="T32" s="1"/>
    </row>
    <row r="33" spans="5:20" x14ac:dyDescent="0.25">
      <c r="E33" s="75">
        <v>2.7</v>
      </c>
      <c r="F33" s="75"/>
      <c r="G33" s="75"/>
      <c r="H33" s="75"/>
      <c r="I33" s="75"/>
      <c r="J33" s="75"/>
      <c r="K33" s="75"/>
      <c r="L33" s="75"/>
      <c r="M33" s="73" t="s">
        <v>5</v>
      </c>
      <c r="N33" s="76">
        <f>(P33*Variables!C1/Variables!C3)*Variables!C2</f>
        <v>2.6994871794871829</v>
      </c>
      <c r="O33" s="73" t="s">
        <v>5</v>
      </c>
      <c r="P33" s="76">
        <f>(IF(E33&lt;0,0,IF(E33&gt;4.8,4095,ROUND((E33/Variables!F3),0))))</f>
        <v>2303</v>
      </c>
      <c r="Q33" s="2" t="s">
        <v>37</v>
      </c>
      <c r="R33" s="13">
        <f>_xlfn.BITAND(P33,255)</f>
        <v>255</v>
      </c>
      <c r="S33" s="13" t="str">
        <f>IF(R33&lt;16,CONCATENATE("0x0",(DEC2HEX(R33))),CONCATENATE("0x",(DEC2HEX(R33))))</f>
        <v>0xFF</v>
      </c>
      <c r="T33" s="5" t="str">
        <f>DEC2BIN(R33,8)</f>
        <v>11111111</v>
      </c>
    </row>
    <row r="34" spans="5:20" x14ac:dyDescent="0.25">
      <c r="E34" s="75"/>
      <c r="F34" s="75"/>
      <c r="G34" s="75"/>
      <c r="H34" s="75"/>
      <c r="I34" s="75"/>
      <c r="J34" s="75"/>
      <c r="K34" s="75"/>
      <c r="L34" s="75"/>
      <c r="M34" s="73"/>
      <c r="N34" s="76"/>
      <c r="O34" s="73"/>
      <c r="P34" s="76"/>
      <c r="Q34" s="2"/>
      <c r="R34" s="2"/>
      <c r="S34" s="2"/>
      <c r="T34" s="1"/>
    </row>
    <row r="35" spans="5:20" x14ac:dyDescent="0.25">
      <c r="E35" s="75"/>
      <c r="F35" s="75"/>
      <c r="G35" s="75"/>
      <c r="H35" s="75"/>
      <c r="I35" s="75"/>
      <c r="J35" s="75"/>
      <c r="K35" s="75"/>
      <c r="L35" s="75"/>
      <c r="M35" s="73"/>
      <c r="N35" s="76"/>
      <c r="O35" s="73"/>
      <c r="P35" s="76"/>
      <c r="Q35" s="2" t="s">
        <v>39</v>
      </c>
      <c r="R35" s="13">
        <f>((_xlfn.BITAND(P33,3840))/(2^8))</f>
        <v>8</v>
      </c>
      <c r="S35" s="13" t="str">
        <f>IF(R35&lt;16,CONCATENATE("0x0",(DEC2HEX(R35))),CONCATENATE("0x",(DEC2HEX(R35))))</f>
        <v>0x08</v>
      </c>
      <c r="T35" s="5" t="str">
        <f>DEC2BIN(R35,8)</f>
        <v>00001000</v>
      </c>
    </row>
    <row r="36" spans="5:20" x14ac:dyDescent="0.25">
      <c r="E36" s="57" t="s">
        <v>42</v>
      </c>
      <c r="F36" s="57"/>
      <c r="G36" s="57"/>
      <c r="H36" s="57"/>
      <c r="I36" s="57"/>
      <c r="J36" s="57"/>
      <c r="K36" s="57"/>
      <c r="L36" s="57"/>
      <c r="M36" s="1"/>
      <c r="P36" s="1"/>
      <c r="Q36" s="2"/>
      <c r="R36" s="2"/>
      <c r="S36" s="2"/>
      <c r="T36" s="1"/>
    </row>
    <row r="37" spans="5:20" x14ac:dyDescent="0.25">
      <c r="E37" s="54">
        <v>1</v>
      </c>
      <c r="F37" s="55"/>
      <c r="G37" s="55"/>
      <c r="H37" s="55"/>
      <c r="I37" s="55"/>
      <c r="J37" s="55"/>
      <c r="K37" s="55"/>
      <c r="L37" s="56"/>
      <c r="M37" s="16"/>
      <c r="N37" s="22">
        <f>IF(E37&lt;0,"0",IF(E37&gt;1024,"1024",ROUND(E37,0)))</f>
        <v>1</v>
      </c>
      <c r="O37" s="22" t="str">
        <f>N40</f>
        <v>s</v>
      </c>
      <c r="P37" s="23">
        <f>N37</f>
        <v>1</v>
      </c>
      <c r="Q37" s="2" t="s">
        <v>41</v>
      </c>
      <c r="R37" s="13">
        <f>_xlfn.BITAND(P37,255)</f>
        <v>1</v>
      </c>
      <c r="S37" s="13" t="str">
        <f>IF(R37&lt;16,CONCATENATE("0x0",(DEC2HEX(R37))),CONCATENATE("0x",(DEC2HEX(R37))))</f>
        <v>0x01</v>
      </c>
      <c r="T37" s="5" t="str">
        <f>DEC2BIN(R37,8)</f>
        <v>00000001</v>
      </c>
    </row>
    <row r="38" spans="5:20" x14ac:dyDescent="0.25">
      <c r="E38" s="89" t="s">
        <v>40</v>
      </c>
      <c r="F38" s="90"/>
      <c r="G38" s="90"/>
      <c r="H38" s="90"/>
      <c r="I38" s="90"/>
      <c r="J38" s="90"/>
      <c r="K38" s="90"/>
      <c r="L38" s="91"/>
      <c r="M38" s="11"/>
      <c r="P38" s="11"/>
      <c r="Q38" s="24"/>
      <c r="R38" s="24"/>
      <c r="S38" s="24"/>
      <c r="T38" s="1"/>
    </row>
    <row r="39" spans="5:20" x14ac:dyDescent="0.25">
      <c r="E39" s="86" t="s">
        <v>45</v>
      </c>
      <c r="F39" s="87"/>
      <c r="G39" s="87"/>
      <c r="H39" s="88"/>
      <c r="I39" s="86" t="s">
        <v>46</v>
      </c>
      <c r="J39" s="87"/>
      <c r="K39" s="87"/>
      <c r="L39" s="88"/>
      <c r="M39" s="1"/>
      <c r="P39" s="1"/>
      <c r="Q39" s="2" t="s">
        <v>43</v>
      </c>
      <c r="R39" s="13">
        <f>(P40*4)+((_xlfn.BITAND(P37,768)/2^8))</f>
        <v>8</v>
      </c>
      <c r="S39" s="13" t="str">
        <f>IF(R39&lt;16,CONCATENATE("0x0",(DEC2HEX(R39))),CONCATENATE("0x",(DEC2HEX(R39))))</f>
        <v>0x08</v>
      </c>
      <c r="T39" s="5" t="str">
        <f>DEC2BIN(R39,8)</f>
        <v>00001000</v>
      </c>
    </row>
    <row r="40" spans="5:20" x14ac:dyDescent="0.25">
      <c r="E40" s="54">
        <v>1</v>
      </c>
      <c r="F40" s="55"/>
      <c r="G40" s="55"/>
      <c r="H40" s="56"/>
      <c r="I40" s="72">
        <v>0</v>
      </c>
      <c r="J40" s="72"/>
      <c r="K40" s="72"/>
      <c r="L40" s="72"/>
      <c r="M40" s="21"/>
      <c r="N40" s="13" t="str">
        <f>IF(((E40*2 +I40) = 3),"min",IF((E40*2+I40 = 2), "s",IF((E40*2+I40=1),"ms","us")))</f>
        <v>s</v>
      </c>
      <c r="O40" s="16"/>
      <c r="P40" s="22">
        <f>IF(N40="min",3,IF(N40="s",2,IF(N40="ms",1,0)))</f>
        <v>2</v>
      </c>
      <c r="Q40" s="2"/>
      <c r="R40" s="2"/>
      <c r="S40" s="2"/>
      <c r="T40" s="1"/>
    </row>
    <row r="41" spans="5:20" x14ac:dyDescent="0.25">
      <c r="E41" s="57" t="s">
        <v>201</v>
      </c>
      <c r="F41" s="57"/>
      <c r="G41" s="57"/>
      <c r="H41" s="57"/>
      <c r="I41" s="57"/>
      <c r="J41" s="57"/>
      <c r="K41" s="57"/>
      <c r="L41" s="57"/>
      <c r="M41" s="11"/>
      <c r="P41" s="11"/>
      <c r="Q41" s="24" t="s">
        <v>44</v>
      </c>
      <c r="R41" s="13">
        <f>_xlfn.BITAND(P42,255)</f>
        <v>5</v>
      </c>
      <c r="S41" s="13" t="str">
        <f>IF(R41&lt;16,CONCATENATE("0x0",(DEC2HEX(R41))),CONCATENATE("0x",(DEC2HEX(R41))))</f>
        <v>0x05</v>
      </c>
      <c r="T41" s="5" t="str">
        <f>DEC2BIN(R41,8)</f>
        <v>00000101</v>
      </c>
    </row>
    <row r="42" spans="5:20" x14ac:dyDescent="0.25">
      <c r="E42" s="72">
        <v>5</v>
      </c>
      <c r="F42" s="72"/>
      <c r="G42" s="72"/>
      <c r="H42" s="72"/>
      <c r="I42" s="72"/>
      <c r="J42" s="72"/>
      <c r="K42" s="72"/>
      <c r="L42" s="72"/>
      <c r="M42" s="16"/>
      <c r="N42" s="22">
        <f>IF(E42&lt;0,"0",IF(E42&gt;1024,"1024",ROUND(E42,0)))</f>
        <v>5</v>
      </c>
      <c r="O42" s="16"/>
      <c r="P42" s="22">
        <f>N42</f>
        <v>5</v>
      </c>
      <c r="Q42" s="2"/>
      <c r="R42" s="2"/>
      <c r="S42" s="2"/>
      <c r="T42" s="1"/>
    </row>
    <row r="43" spans="5:20" x14ac:dyDescent="0.25">
      <c r="E43" s="57" t="s">
        <v>180</v>
      </c>
      <c r="F43" s="57"/>
      <c r="G43" s="57"/>
      <c r="H43" s="57"/>
      <c r="I43" s="57"/>
      <c r="J43" s="57"/>
      <c r="K43" s="57"/>
      <c r="L43" s="57"/>
      <c r="M43" s="11"/>
      <c r="P43" s="11"/>
      <c r="Q43" s="2" t="s">
        <v>47</v>
      </c>
      <c r="R43" s="13">
        <f>(P45*4)+((_xlfn.BITAND(P42,768)/2^8))</f>
        <v>8</v>
      </c>
      <c r="S43" s="13" t="str">
        <f>IF(R43&lt;16,CONCATENATE("0x0",(DEC2HEX(R43))),CONCATENATE("0x",(DEC2HEX(R43))))</f>
        <v>0x08</v>
      </c>
      <c r="T43" s="5" t="str">
        <f>DEC2BIN(R43,8)</f>
        <v>00001000</v>
      </c>
    </row>
    <row r="44" spans="5:20" x14ac:dyDescent="0.25">
      <c r="E44" s="86" t="s">
        <v>82</v>
      </c>
      <c r="F44" s="87"/>
      <c r="G44" s="87"/>
      <c r="H44" s="88"/>
      <c r="I44" s="86" t="s">
        <v>179</v>
      </c>
      <c r="J44" s="87"/>
      <c r="K44" s="87"/>
      <c r="L44" s="88"/>
      <c r="M44" s="11"/>
      <c r="P44" s="11"/>
      <c r="Q44" s="2"/>
      <c r="R44" s="2"/>
      <c r="S44" s="2"/>
      <c r="T44" s="1"/>
    </row>
    <row r="45" spans="5:20" x14ac:dyDescent="0.25">
      <c r="E45" s="75">
        <v>1</v>
      </c>
      <c r="F45" s="75"/>
      <c r="G45" s="75"/>
      <c r="H45" s="75"/>
      <c r="I45" s="75">
        <v>0</v>
      </c>
      <c r="J45" s="75"/>
      <c r="K45" s="75"/>
      <c r="L45" s="75"/>
      <c r="M45" s="16"/>
      <c r="N45" s="22" t="str">
        <f>IF(((E45*2 +I45) = 3),"min",IF((E45*2+I45 = 2), "s",IF((E45*2+I45=1),"ms","us")))</f>
        <v>s</v>
      </c>
      <c r="O45" s="16"/>
      <c r="P45" s="22">
        <f>IF(N45="min",3,IF(N45="s",2,IF(N45="ms",1,0)))</f>
        <v>2</v>
      </c>
      <c r="Q45" s="16"/>
      <c r="R45" s="16"/>
      <c r="S45" s="16"/>
      <c r="T45" s="1"/>
    </row>
    <row r="46" spans="5:20" x14ac:dyDescent="0.25">
      <c r="E46" s="57" t="s">
        <v>49</v>
      </c>
      <c r="F46" s="57"/>
      <c r="G46" s="57"/>
      <c r="H46" s="57"/>
      <c r="I46" s="57"/>
      <c r="J46" s="57"/>
      <c r="K46" s="57"/>
      <c r="L46" s="57"/>
      <c r="M46" s="11"/>
      <c r="P46" s="11"/>
      <c r="Q46" s="24" t="s">
        <v>48</v>
      </c>
      <c r="R46" s="26">
        <f>_xlfn.BITAND(P47,255)</f>
        <v>20</v>
      </c>
      <c r="S46" s="26" t="str">
        <f>IF(R46&lt;16,CONCATENATE("0x0",(DEC2HEX(R46))),CONCATENATE("0x",(DEC2HEX(R46))))</f>
        <v>0x14</v>
      </c>
      <c r="T46" s="5" t="str">
        <f>DEC2BIN(R46,8)</f>
        <v>00010100</v>
      </c>
    </row>
    <row r="47" spans="5:20" x14ac:dyDescent="0.25">
      <c r="E47" s="97">
        <v>20</v>
      </c>
      <c r="F47" s="97"/>
      <c r="G47" s="97"/>
      <c r="H47" s="97"/>
      <c r="I47" s="97"/>
      <c r="J47" s="97"/>
      <c r="K47" s="97"/>
      <c r="L47" s="97"/>
      <c r="M47" s="16"/>
      <c r="N47" s="22">
        <f>IF(E47&lt;0, "0", IF(E47 &gt; 511, "511",ROUND(E47,0)))</f>
        <v>20</v>
      </c>
      <c r="O47" s="22" t="str">
        <f>N49</f>
        <v>ms</v>
      </c>
      <c r="P47" s="22">
        <f>N47</f>
        <v>20</v>
      </c>
      <c r="Q47" s="2"/>
      <c r="R47" s="2"/>
      <c r="S47" s="2"/>
      <c r="T47" s="1"/>
    </row>
    <row r="48" spans="5:20" x14ac:dyDescent="0.25">
      <c r="E48" s="98" t="s">
        <v>50</v>
      </c>
      <c r="F48" s="98"/>
      <c r="G48" s="98"/>
      <c r="H48" s="98"/>
      <c r="I48" s="98"/>
      <c r="J48" s="98"/>
      <c r="K48" s="98"/>
      <c r="L48" s="98"/>
      <c r="M48" s="11"/>
      <c r="P48" s="11"/>
      <c r="Q48" s="2" t="s">
        <v>51</v>
      </c>
      <c r="R48" s="13">
        <f>(P49*2)+((_xlfn.BITAND(P47,256)/2^8))</f>
        <v>2</v>
      </c>
      <c r="S48" s="13" t="str">
        <f>IF(R48&lt;16,CONCATENATE("0x0",(DEC2HEX(R48))),CONCATENATE("0x",(DEC2HEX(R48))))</f>
        <v>0x02</v>
      </c>
      <c r="T48" s="5" t="str">
        <f>DEC2BIN(R48,8)</f>
        <v>00000010</v>
      </c>
    </row>
    <row r="49" spans="5:20" x14ac:dyDescent="0.25">
      <c r="E49" s="72">
        <v>1</v>
      </c>
      <c r="F49" s="72"/>
      <c r="G49" s="72"/>
      <c r="H49" s="72"/>
      <c r="I49" s="72"/>
      <c r="J49" s="72"/>
      <c r="K49" s="72"/>
      <c r="L49" s="72"/>
      <c r="M49" s="20"/>
      <c r="N49" s="13" t="str">
        <f>IF((E49=1),"ms","us")</f>
        <v>ms</v>
      </c>
      <c r="O49" s="2"/>
      <c r="P49" s="13">
        <f>IF(N49="ms",1,0)</f>
        <v>1</v>
      </c>
      <c r="Q49" s="2"/>
      <c r="R49" s="2"/>
      <c r="S49" s="2"/>
      <c r="T49" s="1"/>
    </row>
    <row r="50" spans="5:20" x14ac:dyDescent="0.25">
      <c r="E50" s="99" t="s">
        <v>52</v>
      </c>
      <c r="F50" s="99"/>
      <c r="G50" s="99"/>
      <c r="H50" s="99"/>
      <c r="I50" s="99"/>
      <c r="J50" s="99"/>
      <c r="K50" s="99"/>
      <c r="L50" s="99"/>
      <c r="P50" s="1"/>
      <c r="Q50" s="1"/>
      <c r="R50" s="1"/>
      <c r="S50" s="1"/>
      <c r="T50" s="1"/>
    </row>
    <row r="51" spans="5:20" x14ac:dyDescent="0.25">
      <c r="E51" s="100">
        <v>100</v>
      </c>
      <c r="F51" s="100"/>
      <c r="G51" s="100"/>
      <c r="H51" s="100"/>
      <c r="I51" s="100"/>
      <c r="J51" s="100"/>
      <c r="K51" s="100"/>
      <c r="L51" s="100"/>
      <c r="M51" s="16"/>
      <c r="N51" s="22">
        <f>IF(E51&lt;0, "0", IF(E51 &gt; 1024, "1024",ROUND(E51,0)))</f>
        <v>100</v>
      </c>
      <c r="O51" s="22" t="str">
        <f>N53</f>
        <v>ms</v>
      </c>
      <c r="P51" s="23">
        <f>N51</f>
        <v>100</v>
      </c>
      <c r="Q51" s="2" t="s">
        <v>53</v>
      </c>
      <c r="R51" s="13">
        <f>_xlfn.BITAND(P51,255)</f>
        <v>100</v>
      </c>
      <c r="S51" s="13" t="str">
        <f>IF(R51&lt;16,CONCATENATE("0x0",(DEC2HEX(R51))),CONCATENATE("0x",(DEC2HEX(R51))))</f>
        <v>0x64</v>
      </c>
      <c r="T51" s="5" t="str">
        <f>DEC2BIN(R51,8)</f>
        <v>01100100</v>
      </c>
    </row>
    <row r="52" spans="5:20" x14ac:dyDescent="0.25">
      <c r="E52" s="57" t="s">
        <v>54</v>
      </c>
      <c r="F52" s="57"/>
      <c r="G52" s="57"/>
      <c r="H52" s="57"/>
      <c r="I52" s="57"/>
      <c r="J52" s="57"/>
      <c r="K52" s="57"/>
      <c r="L52" s="57"/>
      <c r="M52" s="1"/>
      <c r="P52" s="1"/>
      <c r="Q52" s="2"/>
      <c r="R52" s="2"/>
      <c r="S52" s="2"/>
      <c r="T52" s="1"/>
    </row>
    <row r="53" spans="5:20" x14ac:dyDescent="0.25">
      <c r="E53" s="92" t="s">
        <v>55</v>
      </c>
      <c r="F53" s="93"/>
      <c r="G53" s="93"/>
      <c r="H53" s="57" t="s">
        <v>56</v>
      </c>
      <c r="I53" s="57"/>
      <c r="J53" s="57"/>
      <c r="K53" s="86" t="s">
        <v>10</v>
      </c>
      <c r="L53" s="88"/>
      <c r="M53" s="20" t="s">
        <v>10</v>
      </c>
      <c r="N53" s="13" t="str">
        <f>IF(((K54*2 +L54) = 3),"min",IF((K54*2+L54 = 2), "s",IF((K54*2+L54=1),"ms","us")))</f>
        <v>ms</v>
      </c>
      <c r="O53" s="2"/>
      <c r="P53" s="1"/>
      <c r="Q53" s="2" t="s">
        <v>59</v>
      </c>
      <c r="R53" s="13">
        <f>(P54*4)+((_xlfn.BITAND(P51,768)/2^8))</f>
        <v>84</v>
      </c>
      <c r="S53" s="13" t="str">
        <f>IF(R53&lt;16,CONCATENATE("0x0",(DEC2HEX(R53))),CONCATENATE("0x",(DEC2HEX(R53))))</f>
        <v>0x54</v>
      </c>
      <c r="T53" s="5" t="str">
        <f>DEC2BIN(R53,8)</f>
        <v>01010100</v>
      </c>
    </row>
    <row r="54" spans="5:20" x14ac:dyDescent="0.25">
      <c r="E54" s="94"/>
      <c r="F54" s="95"/>
      <c r="G54" s="96"/>
      <c r="H54" s="12">
        <v>1</v>
      </c>
      <c r="I54" s="12">
        <v>0</v>
      </c>
      <c r="J54" s="12">
        <v>1</v>
      </c>
      <c r="K54" s="12">
        <v>0</v>
      </c>
      <c r="L54" s="12">
        <v>1</v>
      </c>
      <c r="M54" s="20" t="s">
        <v>57</v>
      </c>
      <c r="N54" s="13">
        <f>IF(AND(H54 = 0,I54=0,J54=0), 4,IF(AND(H54 = 0,I54=0,J54=1),8,IF(AND(H54 = 0,I54=1,J54=0),16,IF(AND(H54 = 0,I54=1,J54=1),24,IF(AND(H54 = 1,I54=0,J54=0),32,IF(AND(H54 = 1,I54=0,J54=1),48,IF(AND(H54 = 1,I54=1,J54=0),64,IF(AND(H54 = 1,I54=1,J54=1),96,"false"))))))))</f>
        <v>48</v>
      </c>
      <c r="O54" s="2" t="s">
        <v>58</v>
      </c>
      <c r="P54" s="5">
        <f>BIN2DEC(CONCATENATE(H54,I54,J54,K54,L54))</f>
        <v>21</v>
      </c>
      <c r="Q54" s="2"/>
      <c r="R54" s="2"/>
      <c r="S54" s="2"/>
      <c r="T54" s="1"/>
    </row>
    <row r="55" spans="5:20" x14ac:dyDescent="0.25">
      <c r="E55" s="57" t="s">
        <v>60</v>
      </c>
      <c r="F55" s="57"/>
      <c r="G55" s="57"/>
      <c r="H55" s="57"/>
      <c r="I55" s="57"/>
      <c r="J55" s="57"/>
      <c r="K55" s="57"/>
      <c r="L55" s="57"/>
      <c r="P55" s="1"/>
      <c r="Q55" s="1"/>
      <c r="R55" s="1"/>
      <c r="S55" s="1"/>
      <c r="T55" s="1"/>
    </row>
    <row r="56" spans="5:20" x14ac:dyDescent="0.25">
      <c r="E56" s="72">
        <v>50</v>
      </c>
      <c r="F56" s="72"/>
      <c r="G56" s="72"/>
      <c r="H56" s="72"/>
      <c r="I56" s="72"/>
      <c r="J56" s="72"/>
      <c r="K56" s="72"/>
      <c r="L56" s="72"/>
      <c r="M56" s="16"/>
      <c r="N56" s="22">
        <f>IF(E56&lt;0, "0", IF(E56 &gt; 1024, "1024",ROUND(E56,0)))</f>
        <v>50</v>
      </c>
      <c r="O56" s="22" t="str">
        <f>N58</f>
        <v>ms</v>
      </c>
      <c r="P56" s="23">
        <f>N56</f>
        <v>50</v>
      </c>
      <c r="Q56" s="2" t="s">
        <v>64</v>
      </c>
      <c r="R56" s="13">
        <f>_xlfn.BITAND(P56,255)</f>
        <v>50</v>
      </c>
      <c r="S56" s="13" t="str">
        <f>IF(R56&lt;16,CONCATENATE("0x0",(DEC2HEX(R56))),CONCATENATE("0x",(DEC2HEX(R56))))</f>
        <v>0x32</v>
      </c>
      <c r="T56" s="5" t="str">
        <f>DEC2BIN(R56,8)</f>
        <v>00110010</v>
      </c>
    </row>
    <row r="57" spans="5:20" x14ac:dyDescent="0.25">
      <c r="E57" s="57" t="s">
        <v>61</v>
      </c>
      <c r="F57" s="57"/>
      <c r="G57" s="57"/>
      <c r="H57" s="57"/>
      <c r="I57" s="57"/>
      <c r="J57" s="57"/>
      <c r="K57" s="57"/>
      <c r="L57" s="57"/>
      <c r="M57" s="1"/>
      <c r="P57" s="1"/>
      <c r="Q57" s="2"/>
      <c r="R57" s="2"/>
      <c r="S57" s="2"/>
      <c r="T57" s="1"/>
    </row>
    <row r="58" spans="5:20" x14ac:dyDescent="0.25">
      <c r="E58" s="92" t="s">
        <v>55</v>
      </c>
      <c r="F58" s="93"/>
      <c r="G58" s="93"/>
      <c r="H58" s="57" t="s">
        <v>56</v>
      </c>
      <c r="I58" s="57"/>
      <c r="J58" s="57"/>
      <c r="K58" s="86" t="s">
        <v>10</v>
      </c>
      <c r="L58" s="88"/>
      <c r="M58" s="20" t="s">
        <v>10</v>
      </c>
      <c r="N58" s="13" t="str">
        <f>IF(((K59*2 +L59) = 3),"min",IF((K59*2+L59 = 2), "s",IF((K59*2+L59=1),"ms","us")))</f>
        <v>ms</v>
      </c>
      <c r="O58" s="2"/>
      <c r="P58" s="1"/>
      <c r="Q58" s="2" t="s">
        <v>65</v>
      </c>
      <c r="R58" s="13">
        <f>(P59*4)+((_xlfn.BITAND(P56,768)/2^8))</f>
        <v>100</v>
      </c>
      <c r="S58" s="13" t="str">
        <f>IF(R58&lt;16,CONCATENATE("0x0",(DEC2HEX(R58))),CONCATENATE("0x",(DEC2HEX(R58))))</f>
        <v>0x64</v>
      </c>
      <c r="T58" s="5" t="str">
        <f>DEC2BIN(R58,8)</f>
        <v>01100100</v>
      </c>
    </row>
    <row r="59" spans="5:20" x14ac:dyDescent="0.25">
      <c r="E59" s="94"/>
      <c r="F59" s="95"/>
      <c r="G59" s="96"/>
      <c r="H59" s="12">
        <v>1</v>
      </c>
      <c r="I59" s="12">
        <v>1</v>
      </c>
      <c r="J59" s="12">
        <v>0</v>
      </c>
      <c r="K59" s="12">
        <v>0</v>
      </c>
      <c r="L59" s="12">
        <v>1</v>
      </c>
      <c r="M59" s="20" t="s">
        <v>57</v>
      </c>
      <c r="N59" s="13">
        <f>IF(AND(H59 = 0,I59=0,J59=0), 1,IF(AND(H59 = 0,I59=0,J59=1),2,IF(AND(H59 = 0,I59=1,J59=0),4,IF(AND(H59 = 0,I59=1,J59=1),6,IF(AND(H59 = 1,I59=0,J59=0),8,IF(AND(H59 = 1,I59=0,J59=1),12,IF(AND(H59 = 1,I59=1,J59=0),16,IF(AND(H59 = 1,I59=1,J59=1),24,"false"))))))))</f>
        <v>16</v>
      </c>
      <c r="O59" s="2" t="s">
        <v>58</v>
      </c>
      <c r="P59" s="5">
        <f>BIN2DEC(CONCATENATE(H59,I59,J59,K59,L59))</f>
        <v>25</v>
      </c>
      <c r="Q59" s="2"/>
      <c r="R59" s="2"/>
      <c r="S59" s="2"/>
      <c r="T59" s="1"/>
    </row>
    <row r="60" spans="5:20" x14ac:dyDescent="0.25">
      <c r="E60" s="57" t="s">
        <v>62</v>
      </c>
      <c r="F60" s="57"/>
      <c r="G60" s="57"/>
      <c r="H60" s="57"/>
      <c r="I60" s="57"/>
      <c r="J60" s="57"/>
      <c r="K60" s="57"/>
      <c r="L60" s="57"/>
      <c r="P60" s="1"/>
      <c r="Q60" s="1"/>
      <c r="R60" s="1"/>
      <c r="S60" s="1"/>
      <c r="T60" s="1"/>
    </row>
    <row r="61" spans="5:20" x14ac:dyDescent="0.25">
      <c r="E61" s="72">
        <v>50</v>
      </c>
      <c r="F61" s="72"/>
      <c r="G61" s="72"/>
      <c r="H61" s="72"/>
      <c r="I61" s="72"/>
      <c r="J61" s="72"/>
      <c r="K61" s="72"/>
      <c r="L61" s="72"/>
      <c r="M61" s="16"/>
      <c r="N61" s="22">
        <f>IF(E61&lt;0, "0", IF(E61 &gt; 1024, "1024",ROUND(E61,0)))</f>
        <v>50</v>
      </c>
      <c r="O61" s="22" t="str">
        <f>N63</f>
        <v>us</v>
      </c>
      <c r="P61" s="23">
        <f>N61</f>
        <v>50</v>
      </c>
      <c r="Q61" s="2" t="s">
        <v>66</v>
      </c>
      <c r="R61" s="13">
        <f>_xlfn.BITAND(P61,255)</f>
        <v>50</v>
      </c>
      <c r="S61" s="13" t="str">
        <f>IF(R61&lt;16,CONCATENATE("0x0",(DEC2HEX(R61))),CONCATENATE("0x",(DEC2HEX(R61))))</f>
        <v>0x32</v>
      </c>
      <c r="T61" s="5" t="str">
        <f>DEC2BIN(R61,8)</f>
        <v>00110010</v>
      </c>
    </row>
    <row r="62" spans="5:20" x14ac:dyDescent="0.25">
      <c r="E62" s="57" t="s">
        <v>63</v>
      </c>
      <c r="F62" s="57"/>
      <c r="G62" s="57"/>
      <c r="H62" s="57"/>
      <c r="I62" s="57"/>
      <c r="J62" s="57"/>
      <c r="K62" s="57"/>
      <c r="L62" s="57"/>
      <c r="M62" s="1"/>
      <c r="P62" s="1"/>
      <c r="Q62" s="2"/>
      <c r="R62" s="2"/>
      <c r="S62" s="2"/>
      <c r="T62" s="1"/>
    </row>
    <row r="63" spans="5:20" x14ac:dyDescent="0.25">
      <c r="E63" s="92" t="s">
        <v>55</v>
      </c>
      <c r="F63" s="93"/>
      <c r="G63" s="93"/>
      <c r="H63" s="57" t="s">
        <v>56</v>
      </c>
      <c r="I63" s="57"/>
      <c r="J63" s="57"/>
      <c r="K63" s="86" t="s">
        <v>10</v>
      </c>
      <c r="L63" s="88"/>
      <c r="M63" s="20" t="s">
        <v>10</v>
      </c>
      <c r="N63" s="13" t="str">
        <f>IF(((K64*2 +L64) = 3),"min",IF((K64*2+L64 = 2), "s",IF((K64*2+L64=1),"ms","us")))</f>
        <v>us</v>
      </c>
      <c r="O63" s="2"/>
      <c r="P63" s="1"/>
      <c r="Q63" s="2" t="s">
        <v>67</v>
      </c>
      <c r="R63" s="13">
        <f>(P64*4)+((_xlfn.BITAND(P61,768)/2^8))</f>
        <v>64</v>
      </c>
      <c r="S63" s="13" t="str">
        <f>IF(R63&lt;16,CONCATENATE("0x0",(DEC2HEX(R63))),CONCATENATE("0x",(DEC2HEX(R63))))</f>
        <v>0x40</v>
      </c>
      <c r="T63" s="5" t="str">
        <f>DEC2BIN(R63,8)</f>
        <v>01000000</v>
      </c>
    </row>
    <row r="64" spans="5:20" x14ac:dyDescent="0.25">
      <c r="E64" s="102"/>
      <c r="F64" s="103"/>
      <c r="G64" s="104"/>
      <c r="H64" s="28">
        <v>1</v>
      </c>
      <c r="I64" s="28">
        <v>0</v>
      </c>
      <c r="J64" s="28">
        <v>0</v>
      </c>
      <c r="K64" s="28">
        <v>0</v>
      </c>
      <c r="L64" s="28">
        <v>0</v>
      </c>
      <c r="M64" s="20" t="s">
        <v>57</v>
      </c>
      <c r="N64" s="13">
        <f>IF(AND(H64 = 0,I64=0,J64=0), 16,IF(AND(H64 = 0,I64=0,J64=1),24,IF(AND(H64 = 0,I64=1,J64=0),32,IF(AND(H64 = 0,I64=1,J64=1),48,IF(AND(H64 = 1,I64=0,J64=0),64,IF(AND(H64 = 1,I64=0,J64=1),96,IF(AND(H64 = 1,I64=1,J64=0),128,IF(AND(H64 = 1,I64=1,J64=1),256,"false"))))))))</f>
        <v>64</v>
      </c>
      <c r="O64" s="2" t="s">
        <v>58</v>
      </c>
      <c r="P64" s="5">
        <f>BIN2DEC(CONCATENATE(H64,I64,J64,K64,L64))</f>
        <v>16</v>
      </c>
      <c r="Q64" s="2"/>
      <c r="R64" s="2"/>
      <c r="S64" s="2"/>
      <c r="T64" s="1"/>
    </row>
    <row r="65" spans="5:20" x14ac:dyDescent="0.25">
      <c r="E65" s="57" t="s">
        <v>68</v>
      </c>
      <c r="F65" s="57"/>
      <c r="G65" s="57"/>
      <c r="H65" s="57"/>
      <c r="I65" s="57"/>
      <c r="J65" s="57"/>
      <c r="K65" s="57"/>
      <c r="L65" s="57"/>
      <c r="M65" s="1"/>
      <c r="P65" s="1"/>
      <c r="Q65" s="2"/>
      <c r="R65" s="2"/>
      <c r="S65" s="2"/>
      <c r="T65" s="1"/>
    </row>
    <row r="66" spans="5:20" x14ac:dyDescent="0.25">
      <c r="E66" s="75">
        <v>3.3</v>
      </c>
      <c r="F66" s="75"/>
      <c r="G66" s="75"/>
      <c r="H66" s="75"/>
      <c r="I66" s="75"/>
      <c r="J66" s="75"/>
      <c r="K66" s="75"/>
      <c r="L66" s="75"/>
      <c r="M66" s="101" t="s">
        <v>5</v>
      </c>
      <c r="N66" s="76">
        <f>(P66*Variables!C1/Variables!C3)*Variables!C2</f>
        <v>3.2996336996337039</v>
      </c>
      <c r="O66" s="73" t="s">
        <v>5</v>
      </c>
      <c r="P66" s="76">
        <f>(IF(E66&lt;0,0,IF(E66&gt;4.8,4095,ROUND((E66/Variables!F3),0))))</f>
        <v>2815</v>
      </c>
      <c r="Q66" s="20" t="s">
        <v>69</v>
      </c>
      <c r="R66" s="13">
        <f>_xlfn.BITAND(P66,255)</f>
        <v>255</v>
      </c>
      <c r="S66" s="13" t="str">
        <f>IF(R66&lt;16,CONCATENATE("0x0",(DEC2HEX(R66))),CONCATENATE("0x",(DEC2HEX(R66))))</f>
        <v>0xFF</v>
      </c>
      <c r="T66" s="5" t="str">
        <f>DEC2BIN(R66,8)</f>
        <v>11111111</v>
      </c>
    </row>
    <row r="67" spans="5:20" x14ac:dyDescent="0.25">
      <c r="E67" s="75"/>
      <c r="F67" s="75"/>
      <c r="G67" s="75"/>
      <c r="H67" s="75"/>
      <c r="I67" s="75"/>
      <c r="J67" s="75"/>
      <c r="K67" s="75"/>
      <c r="L67" s="75"/>
      <c r="M67" s="101"/>
      <c r="N67" s="76"/>
      <c r="O67" s="73"/>
      <c r="P67" s="76"/>
      <c r="Q67" s="2"/>
      <c r="R67" s="2"/>
      <c r="S67" s="2"/>
      <c r="T67" s="1"/>
    </row>
    <row r="68" spans="5:20" x14ac:dyDescent="0.25">
      <c r="E68" s="75"/>
      <c r="F68" s="75"/>
      <c r="G68" s="75"/>
      <c r="H68" s="75"/>
      <c r="I68" s="75"/>
      <c r="J68" s="75"/>
      <c r="K68" s="75"/>
      <c r="L68" s="75"/>
      <c r="M68" s="101"/>
      <c r="N68" s="76"/>
      <c r="O68" s="73"/>
      <c r="P68" s="76"/>
      <c r="Q68" s="2" t="s">
        <v>70</v>
      </c>
      <c r="R68" s="13">
        <f>((_xlfn.BITAND(P66,3840))/(2^8))</f>
        <v>10</v>
      </c>
      <c r="S68" s="13" t="str">
        <f>IF(R68&lt;16,CONCATENATE("0x0",(DEC2HEX(R68))),CONCATENATE("0x",(DEC2HEX(R68))))</f>
        <v>0x0A</v>
      </c>
      <c r="T68" s="5" t="str">
        <f>DEC2BIN(R68,8)</f>
        <v>00001010</v>
      </c>
    </row>
    <row r="69" spans="5:20" x14ac:dyDescent="0.25">
      <c r="E69" s="57" t="s">
        <v>71</v>
      </c>
      <c r="F69" s="57"/>
      <c r="G69" s="57"/>
      <c r="H69" s="57"/>
      <c r="I69" s="57"/>
      <c r="J69" s="57"/>
      <c r="K69" s="57"/>
      <c r="L69" s="57"/>
      <c r="M69" s="1"/>
      <c r="P69" s="1"/>
      <c r="Q69" s="2"/>
      <c r="R69" s="2"/>
      <c r="S69" s="2"/>
      <c r="T69" s="1"/>
    </row>
    <row r="70" spans="5:20" x14ac:dyDescent="0.25">
      <c r="E70" s="75">
        <v>4.1500000000000004</v>
      </c>
      <c r="F70" s="75"/>
      <c r="G70" s="75"/>
      <c r="H70" s="75"/>
      <c r="I70" s="75"/>
      <c r="J70" s="75"/>
      <c r="K70" s="75"/>
      <c r="L70" s="75"/>
      <c r="M70" s="101" t="s">
        <v>5</v>
      </c>
      <c r="N70" s="76">
        <f>(P70*Variables!C1/Variables!C3)*Variables!C2</f>
        <v>4.1494505494505551</v>
      </c>
      <c r="O70" s="73" t="s">
        <v>5</v>
      </c>
      <c r="P70" s="76">
        <f>(IF(E70&lt;0,0,IF(E70&gt;4.8,4095,ROUND((E70/Variables!F3),0))))</f>
        <v>3540</v>
      </c>
      <c r="Q70" s="20" t="s">
        <v>72</v>
      </c>
      <c r="R70" s="13">
        <f>_xlfn.BITAND(P70,255)</f>
        <v>212</v>
      </c>
      <c r="S70" s="13" t="str">
        <f>IF(R70&lt;16,CONCATENATE("0x0",(DEC2HEX(R70))),CONCATENATE("0x",(DEC2HEX(R70))))</f>
        <v>0xD4</v>
      </c>
      <c r="T70" s="5" t="str">
        <f>DEC2BIN(R70,8)</f>
        <v>11010100</v>
      </c>
    </row>
    <row r="71" spans="5:20" x14ac:dyDescent="0.25">
      <c r="E71" s="75"/>
      <c r="F71" s="75"/>
      <c r="G71" s="75"/>
      <c r="H71" s="75"/>
      <c r="I71" s="75"/>
      <c r="J71" s="75"/>
      <c r="K71" s="75"/>
      <c r="L71" s="75"/>
      <c r="M71" s="101"/>
      <c r="N71" s="76"/>
      <c r="O71" s="73"/>
      <c r="P71" s="76"/>
      <c r="Q71" s="2"/>
      <c r="R71" s="2"/>
      <c r="S71" s="2"/>
      <c r="T71" s="1"/>
    </row>
    <row r="72" spans="5:20" x14ac:dyDescent="0.25">
      <c r="E72" s="75"/>
      <c r="F72" s="75"/>
      <c r="G72" s="75"/>
      <c r="H72" s="75"/>
      <c r="I72" s="75"/>
      <c r="J72" s="75"/>
      <c r="K72" s="75"/>
      <c r="L72" s="75"/>
      <c r="M72" s="101"/>
      <c r="N72" s="76"/>
      <c r="O72" s="73"/>
      <c r="P72" s="76"/>
      <c r="Q72" s="2" t="s">
        <v>73</v>
      </c>
      <c r="R72" s="13">
        <f>((_xlfn.BITAND(P70,3840))/(2^8))</f>
        <v>13</v>
      </c>
      <c r="S72" s="13" t="str">
        <f>IF(R72&lt;16,CONCATENATE("0x0",(DEC2HEX(R72))),CONCATENATE("0x",(DEC2HEX(R72))))</f>
        <v>0x0D</v>
      </c>
      <c r="T72" s="5" t="str">
        <f>DEC2BIN(R72,8)</f>
        <v>00001101</v>
      </c>
    </row>
    <row r="73" spans="5:20" x14ac:dyDescent="0.25">
      <c r="E73" s="57" t="s">
        <v>74</v>
      </c>
      <c r="F73" s="57"/>
      <c r="G73" s="57"/>
      <c r="H73" s="57"/>
      <c r="I73" s="57"/>
      <c r="J73" s="57"/>
      <c r="K73" s="57"/>
      <c r="L73" s="57"/>
      <c r="M73" s="1"/>
      <c r="P73" s="1"/>
      <c r="Q73" s="2"/>
      <c r="R73" s="2"/>
      <c r="S73" s="2"/>
      <c r="T73" s="1"/>
    </row>
    <row r="74" spans="5:20" x14ac:dyDescent="0.25">
      <c r="E74" s="75">
        <v>0.02</v>
      </c>
      <c r="F74" s="75"/>
      <c r="G74" s="75"/>
      <c r="H74" s="75"/>
      <c r="I74" s="75"/>
      <c r="J74" s="75"/>
      <c r="K74" s="75"/>
      <c r="L74" s="75"/>
      <c r="M74" s="101" t="s">
        <v>5</v>
      </c>
      <c r="N74" s="76">
        <f>(P74*Variables!C1/Variables!C3)*Variables!C2</f>
        <v>1.9926739926739951E-2</v>
      </c>
      <c r="O74" s="73" t="s">
        <v>5</v>
      </c>
      <c r="P74" s="76">
        <f>(IF(E74&lt;0,0,IF(E74&gt;4.8,4095,ROUND((E74/Variables!F3),0))))</f>
        <v>17</v>
      </c>
      <c r="Q74" s="20" t="s">
        <v>75</v>
      </c>
      <c r="R74" s="13">
        <f>_xlfn.BITAND(P74,255)</f>
        <v>17</v>
      </c>
      <c r="S74" s="13" t="str">
        <f>IF(R74&lt;16,CONCATENATE("0x0",(DEC2HEX(R74))),CONCATENATE("0x",(DEC2HEX(R74))))</f>
        <v>0x11</v>
      </c>
      <c r="T74" s="5" t="str">
        <f>DEC2BIN(R74,8)</f>
        <v>00010001</v>
      </c>
    </row>
    <row r="75" spans="5:20" x14ac:dyDescent="0.25">
      <c r="E75" s="75"/>
      <c r="F75" s="75"/>
      <c r="G75" s="75"/>
      <c r="H75" s="75"/>
      <c r="I75" s="75"/>
      <c r="J75" s="75"/>
      <c r="K75" s="75"/>
      <c r="L75" s="75"/>
      <c r="M75" s="101"/>
      <c r="N75" s="76"/>
      <c r="O75" s="73"/>
      <c r="P75" s="76"/>
      <c r="Q75" s="2"/>
      <c r="R75" s="2"/>
      <c r="S75" s="2"/>
      <c r="T75" s="1"/>
    </row>
    <row r="76" spans="5:20" x14ac:dyDescent="0.25">
      <c r="E76" s="75"/>
      <c r="F76" s="75"/>
      <c r="G76" s="75"/>
      <c r="H76" s="75"/>
      <c r="I76" s="75"/>
      <c r="J76" s="75"/>
      <c r="K76" s="75"/>
      <c r="L76" s="75"/>
      <c r="M76" s="101"/>
      <c r="N76" s="76"/>
      <c r="O76" s="73"/>
      <c r="P76" s="76"/>
      <c r="Q76" s="2" t="s">
        <v>76</v>
      </c>
      <c r="R76" s="13">
        <f>((_xlfn.BITAND(P74,3840))/(2^8))</f>
        <v>0</v>
      </c>
      <c r="S76" s="13" t="str">
        <f>IF(R76&lt;16,CONCATENATE("0x0",(DEC2HEX(R76))),CONCATENATE("0x",(DEC2HEX(R76))))</f>
        <v>0x00</v>
      </c>
      <c r="T76" s="5" t="str">
        <f>DEC2BIN(R76,8)</f>
        <v>00000000</v>
      </c>
    </row>
    <row r="77" spans="5:20" x14ac:dyDescent="0.25">
      <c r="E77" s="57" t="s">
        <v>77</v>
      </c>
      <c r="F77" s="57"/>
      <c r="G77" s="57"/>
      <c r="H77" s="57"/>
      <c r="I77" s="57"/>
      <c r="J77" s="57"/>
      <c r="K77" s="57"/>
      <c r="L77" s="57"/>
      <c r="M77" s="1"/>
      <c r="P77" s="1"/>
      <c r="Q77" s="2"/>
      <c r="R77" s="2"/>
      <c r="S77" s="2"/>
      <c r="T77" s="1"/>
    </row>
    <row r="78" spans="5:20" x14ac:dyDescent="0.25">
      <c r="E78" s="75">
        <v>0.5</v>
      </c>
      <c r="F78" s="75"/>
      <c r="G78" s="75"/>
      <c r="H78" s="75"/>
      <c r="I78" s="75"/>
      <c r="J78" s="75"/>
      <c r="K78" s="75"/>
      <c r="L78" s="75"/>
      <c r="M78" s="101" t="s">
        <v>5</v>
      </c>
      <c r="N78" s="76">
        <f>(P78*Variables!C1/Variables!C3)*Variables!C2</f>
        <v>0.50051282051282109</v>
      </c>
      <c r="O78" s="73" t="s">
        <v>5</v>
      </c>
      <c r="P78" s="76">
        <f>(IF(E78&lt;0,0,IF(E78&gt;4.8,4095,ROUND((E78/Variables!F3),0))))</f>
        <v>427</v>
      </c>
      <c r="Q78" s="20" t="s">
        <v>78</v>
      </c>
      <c r="R78" s="13">
        <f>_xlfn.BITAND(P78,255)</f>
        <v>171</v>
      </c>
      <c r="S78" s="13" t="str">
        <f>IF(R78&lt;16,CONCATENATE("0x0",(DEC2HEX(R78))),CONCATENATE("0x",(DEC2HEX(R78))))</f>
        <v>0xAB</v>
      </c>
      <c r="T78" s="5" t="str">
        <f>DEC2BIN(R78,8)</f>
        <v>10101011</v>
      </c>
    </row>
    <row r="79" spans="5:20" x14ac:dyDescent="0.25">
      <c r="E79" s="75"/>
      <c r="F79" s="75"/>
      <c r="G79" s="75"/>
      <c r="H79" s="75"/>
      <c r="I79" s="75"/>
      <c r="J79" s="75"/>
      <c r="K79" s="75"/>
      <c r="L79" s="75"/>
      <c r="M79" s="101"/>
      <c r="N79" s="76"/>
      <c r="O79" s="73"/>
      <c r="P79" s="76"/>
      <c r="Q79" s="2"/>
      <c r="R79" s="2"/>
      <c r="S79" s="2"/>
      <c r="T79" s="1"/>
    </row>
    <row r="80" spans="5:20" x14ac:dyDescent="0.25">
      <c r="E80" s="75"/>
      <c r="F80" s="75"/>
      <c r="G80" s="75"/>
      <c r="H80" s="75"/>
      <c r="I80" s="75"/>
      <c r="J80" s="75"/>
      <c r="K80" s="75"/>
      <c r="L80" s="75"/>
      <c r="M80" s="101"/>
      <c r="N80" s="76"/>
      <c r="O80" s="73"/>
      <c r="P80" s="76"/>
      <c r="Q80" s="2" t="s">
        <v>79</v>
      </c>
      <c r="R80" s="13">
        <f>((_xlfn.BITAND(P78,3840))/(2^8))</f>
        <v>1</v>
      </c>
      <c r="S80" s="13" t="str">
        <f>IF(R80&lt;16,CONCATENATE("0x0",(DEC2HEX(R80))),CONCATENATE("0x",(DEC2HEX(R80))))</f>
        <v>0x01</v>
      </c>
      <c r="T80" s="5" t="str">
        <f>DEC2BIN(R80,8)</f>
        <v>00000001</v>
      </c>
    </row>
    <row r="81" spans="4:20" x14ac:dyDescent="0.25">
      <c r="E81" s="57" t="s">
        <v>80</v>
      </c>
      <c r="F81" s="57"/>
      <c r="G81" s="57"/>
      <c r="H81" s="57"/>
      <c r="I81" s="57"/>
      <c r="J81" s="57"/>
      <c r="K81" s="57"/>
      <c r="L81" s="57"/>
      <c r="M81" s="11"/>
      <c r="P81" s="11"/>
      <c r="Q81" s="24"/>
      <c r="R81" s="2"/>
      <c r="S81" s="2"/>
      <c r="T81" s="1"/>
    </row>
    <row r="82" spans="4:20" x14ac:dyDescent="0.25">
      <c r="E82" s="72">
        <v>2</v>
      </c>
      <c r="F82" s="72"/>
      <c r="G82" s="72"/>
      <c r="H82" s="72"/>
      <c r="I82" s="72"/>
      <c r="J82" s="72"/>
      <c r="K82" s="72"/>
      <c r="L82" s="72"/>
      <c r="M82" s="16"/>
      <c r="N82" s="22">
        <f>IF(E82&lt;0, "0", IF(E82 &gt; 1024, "1024",ROUND(E82,0)))</f>
        <v>2</v>
      </c>
      <c r="O82" s="22" t="str">
        <f>N85</f>
        <v>s</v>
      </c>
      <c r="P82" s="22">
        <f>N82</f>
        <v>2</v>
      </c>
      <c r="Q82" s="2"/>
      <c r="R82" s="2"/>
      <c r="S82" s="2"/>
      <c r="T82" s="1"/>
    </row>
    <row r="83" spans="4:20" x14ac:dyDescent="0.25">
      <c r="E83" s="86" t="s">
        <v>85</v>
      </c>
      <c r="F83" s="87"/>
      <c r="G83" s="87"/>
      <c r="H83" s="87"/>
      <c r="I83" s="87"/>
      <c r="J83" s="87"/>
      <c r="K83" s="87"/>
      <c r="L83" s="88"/>
      <c r="M83" s="11"/>
      <c r="P83" s="11"/>
      <c r="Q83" s="2" t="s">
        <v>83</v>
      </c>
      <c r="R83" s="13">
        <f>_xlfn.BITAND(P82,255)</f>
        <v>2</v>
      </c>
      <c r="S83" s="13" t="str">
        <f>IF(R83&lt;16,CONCATENATE("0x0",(DEC2HEX(R83))),CONCATENATE("0x",(DEC2HEX(R83))))</f>
        <v>0x02</v>
      </c>
      <c r="T83" s="5" t="str">
        <f>DEC2BIN(R83,8)</f>
        <v>00000010</v>
      </c>
    </row>
    <row r="84" spans="4:20" x14ac:dyDescent="0.25">
      <c r="E84" s="86" t="s">
        <v>81</v>
      </c>
      <c r="F84" s="87"/>
      <c r="G84" s="87"/>
      <c r="H84" s="88"/>
      <c r="I84" s="86" t="s">
        <v>181</v>
      </c>
      <c r="J84" s="87"/>
      <c r="K84" s="87"/>
      <c r="L84" s="88"/>
      <c r="M84" s="11"/>
      <c r="P84" s="11"/>
      <c r="Q84" s="2"/>
      <c r="R84" s="2"/>
      <c r="S84" s="2"/>
      <c r="T84" s="1"/>
    </row>
    <row r="85" spans="4:20" x14ac:dyDescent="0.25">
      <c r="E85" s="75">
        <v>1</v>
      </c>
      <c r="F85" s="75"/>
      <c r="G85" s="75"/>
      <c r="H85" s="75"/>
      <c r="I85" s="75">
        <v>0</v>
      </c>
      <c r="J85" s="75"/>
      <c r="K85" s="75"/>
      <c r="L85" s="75"/>
      <c r="M85" s="16"/>
      <c r="N85" s="22" t="str">
        <f>IF(((E85*2 +I85) = 3),"min",IF((E85*2+I85 = 2), "s",IF((E85*2+I85=1),"ms","us")))</f>
        <v>s</v>
      </c>
      <c r="O85" s="16"/>
      <c r="P85" s="22">
        <f>IF(N85="min",3,IF(N85="s",2,IF(N85="ms",1,0)))</f>
        <v>2</v>
      </c>
      <c r="Q85" s="16" t="s">
        <v>84</v>
      </c>
      <c r="R85" s="22">
        <f>(P85*4)+((_xlfn.BITAND(P82,768)/2^8))</f>
        <v>8</v>
      </c>
      <c r="S85" s="22" t="str">
        <f>IF(R85&lt;16,CONCATENATE("0x0",(DEC2HEX(R85))),CONCATENATE("0x",(DEC2HEX(R85))))</f>
        <v>0x08</v>
      </c>
      <c r="T85" s="5" t="str">
        <f>DEC2BIN(R85,8)</f>
        <v>00001000</v>
      </c>
    </row>
    <row r="86" spans="4:20" x14ac:dyDescent="0.25">
      <c r="E86" s="57" t="s">
        <v>86</v>
      </c>
      <c r="F86" s="57"/>
      <c r="G86" s="57"/>
      <c r="H86" s="57"/>
      <c r="I86" s="57"/>
      <c r="J86" s="57"/>
      <c r="K86" s="57"/>
      <c r="L86" s="57"/>
      <c r="M86" s="11"/>
      <c r="P86" s="11"/>
      <c r="Q86" s="24"/>
      <c r="R86" s="2"/>
      <c r="S86" s="2"/>
      <c r="T86" s="1"/>
    </row>
    <row r="87" spans="4:20" x14ac:dyDescent="0.25">
      <c r="E87" s="72">
        <v>2</v>
      </c>
      <c r="F87" s="72"/>
      <c r="G87" s="72"/>
      <c r="H87" s="72"/>
      <c r="I87" s="72"/>
      <c r="J87" s="72"/>
      <c r="K87" s="72"/>
      <c r="L87" s="72"/>
      <c r="M87" s="16"/>
      <c r="N87" s="22">
        <f>IF(E87&lt;0, "0", IF(E87 &gt; 1024, "1024",ROUND(E87,0)))</f>
        <v>2</v>
      </c>
      <c r="O87" s="16"/>
      <c r="P87" s="22">
        <f>N87</f>
        <v>2</v>
      </c>
      <c r="Q87" s="2"/>
      <c r="R87" s="2"/>
      <c r="S87" s="2"/>
      <c r="T87" s="1"/>
    </row>
    <row r="88" spans="4:20" x14ac:dyDescent="0.25">
      <c r="E88" s="86" t="s">
        <v>87</v>
      </c>
      <c r="F88" s="87"/>
      <c r="G88" s="87"/>
      <c r="H88" s="87"/>
      <c r="I88" s="87"/>
      <c r="J88" s="87"/>
      <c r="K88" s="87"/>
      <c r="L88" s="88"/>
      <c r="M88" s="11"/>
      <c r="P88" s="11"/>
      <c r="Q88" s="2" t="s">
        <v>90</v>
      </c>
      <c r="R88" s="13">
        <f>_xlfn.BITAND(P87,255)</f>
        <v>2</v>
      </c>
      <c r="S88" s="13" t="str">
        <f>IF(R88&lt;16,CONCATENATE("0x0",(DEC2HEX(R88))),CONCATENATE("0x",(DEC2HEX(R88))))</f>
        <v>0x02</v>
      </c>
      <c r="T88" s="5" t="str">
        <f>DEC2BIN(R88,8)</f>
        <v>00000010</v>
      </c>
    </row>
    <row r="89" spans="4:20" x14ac:dyDescent="0.25">
      <c r="E89" s="86" t="s">
        <v>183</v>
      </c>
      <c r="F89" s="87"/>
      <c r="G89" s="87"/>
      <c r="H89" s="88"/>
      <c r="I89" s="86" t="s">
        <v>182</v>
      </c>
      <c r="J89" s="87"/>
      <c r="K89" s="87"/>
      <c r="L89" s="88"/>
      <c r="M89" s="11"/>
      <c r="P89" s="11"/>
      <c r="Q89" s="2"/>
      <c r="R89" s="2"/>
      <c r="S89" s="2"/>
      <c r="T89" s="1"/>
    </row>
    <row r="90" spans="4:20" x14ac:dyDescent="0.25">
      <c r="E90" s="75">
        <v>1</v>
      </c>
      <c r="F90" s="75"/>
      <c r="G90" s="75"/>
      <c r="H90" s="75"/>
      <c r="I90" s="75">
        <v>0</v>
      </c>
      <c r="J90" s="75"/>
      <c r="K90" s="75"/>
      <c r="L90" s="75"/>
      <c r="M90" s="16"/>
      <c r="N90" s="22" t="str">
        <f>IF(((E90*2 +I90) = 3),"min",IF((E90*2+I90 = 2), "s",IF((E90*2+I90=1),"ms","us")))</f>
        <v>s</v>
      </c>
      <c r="O90" s="16"/>
      <c r="P90" s="22">
        <f>IF(N90="min",3,IF(N90="s",2,IF(N90="ms",1,0)))</f>
        <v>2</v>
      </c>
      <c r="Q90" s="16" t="s">
        <v>91</v>
      </c>
      <c r="R90" s="22">
        <f>(P90*4)+((_xlfn.BITAND(P87,768)/2^8))</f>
        <v>8</v>
      </c>
      <c r="S90" s="22" t="str">
        <f>IF(R90&lt;16,CONCATENATE("0x0",(DEC2HEX(R90))),CONCATENATE("0x",(DEC2HEX(R90))))</f>
        <v>0x08</v>
      </c>
      <c r="T90" s="5" t="str">
        <f>DEC2BIN(R90,8)</f>
        <v>00001000</v>
      </c>
    </row>
    <row r="91" spans="4:20" x14ac:dyDescent="0.25">
      <c r="E91" s="73" t="s">
        <v>89</v>
      </c>
      <c r="F91" s="73"/>
      <c r="G91" s="73"/>
      <c r="H91" s="73"/>
      <c r="I91" s="73"/>
      <c r="J91" s="73"/>
      <c r="K91" s="73"/>
      <c r="L91" s="73"/>
      <c r="M91" s="1"/>
      <c r="P91" s="1"/>
      <c r="Q91" s="2"/>
      <c r="R91" s="2"/>
      <c r="S91" s="2"/>
      <c r="T91" s="1"/>
    </row>
    <row r="92" spans="4:20" x14ac:dyDescent="0.25">
      <c r="E92" s="75">
        <f>0.6453*2</f>
        <v>1.2906</v>
      </c>
      <c r="F92" s="75"/>
      <c r="G92" s="75"/>
      <c r="H92" s="75"/>
      <c r="I92" s="75"/>
      <c r="J92" s="75"/>
      <c r="K92" s="75"/>
      <c r="L92" s="75"/>
      <c r="M92" s="101" t="s">
        <v>5</v>
      </c>
      <c r="N92" s="76">
        <f>(P92*Variables!C1/Variables!C3)</f>
        <v>1.2905494505494506</v>
      </c>
      <c r="O92" s="101" t="s">
        <v>5</v>
      </c>
      <c r="P92" s="76">
        <f>(IF(E92&lt;0,0,IF(E92&gt;1.8,4095,ROUND(((E92*4095)/1.8),0))))</f>
        <v>2936</v>
      </c>
      <c r="Q92" s="2" t="s">
        <v>92</v>
      </c>
      <c r="R92" s="13">
        <f>_xlfn.BITAND(P92,255)</f>
        <v>120</v>
      </c>
      <c r="S92" s="13" t="str">
        <f>IF(R92&lt;16,CONCATENATE("0x0",(DEC2HEX(R92))),CONCATENATE("0x",(DEC2HEX(R92))))</f>
        <v>0x78</v>
      </c>
      <c r="T92" s="5" t="str">
        <f>DEC2BIN(R92,8)</f>
        <v>01111000</v>
      </c>
    </row>
    <row r="93" spans="4:20" x14ac:dyDescent="0.25">
      <c r="D93" t="s">
        <v>202</v>
      </c>
      <c r="E93" s="75"/>
      <c r="F93" s="75"/>
      <c r="G93" s="75"/>
      <c r="H93" s="75"/>
      <c r="I93" s="75"/>
      <c r="J93" s="75"/>
      <c r="K93" s="75"/>
      <c r="L93" s="75"/>
      <c r="M93" s="101"/>
      <c r="N93" s="76"/>
      <c r="O93" s="101"/>
      <c r="P93" s="76"/>
      <c r="Q93" s="2"/>
      <c r="R93" s="2"/>
      <c r="S93" s="2"/>
      <c r="T93" s="2"/>
    </row>
    <row r="94" spans="4:20" x14ac:dyDescent="0.25">
      <c r="E94" s="75"/>
      <c r="F94" s="75"/>
      <c r="G94" s="75"/>
      <c r="H94" s="75"/>
      <c r="I94" s="75"/>
      <c r="J94" s="75"/>
      <c r="K94" s="75"/>
      <c r="L94" s="75"/>
      <c r="M94" s="101"/>
      <c r="N94" s="76"/>
      <c r="O94" s="101"/>
      <c r="P94" s="76"/>
      <c r="Q94" s="2" t="s">
        <v>93</v>
      </c>
      <c r="R94" s="13">
        <f>((_xlfn.BITAND(P92,3840))/(2^8))</f>
        <v>11</v>
      </c>
      <c r="S94" s="13" t="str">
        <f>IF(R94&lt;16,CONCATENATE("0x0",(DEC2HEX(R94))),CONCATENATE("0x",(DEC2HEX(R94))))</f>
        <v>0x0B</v>
      </c>
      <c r="T94" s="5" t="str">
        <f>DEC2BIN(R94,8)</f>
        <v>00001011</v>
      </c>
    </row>
    <row r="95" spans="4:20" x14ac:dyDescent="0.25">
      <c r="E95" s="73" t="s">
        <v>94</v>
      </c>
      <c r="F95" s="73"/>
      <c r="G95" s="73"/>
      <c r="H95" s="73"/>
      <c r="I95" s="73"/>
      <c r="J95" s="73"/>
      <c r="K95" s="73"/>
      <c r="L95" s="73"/>
      <c r="M95" s="1"/>
      <c r="P95" s="1"/>
      <c r="Q95" s="2"/>
      <c r="R95" s="2"/>
      <c r="S95" s="2"/>
      <c r="T95" s="1"/>
    </row>
    <row r="96" spans="4:20" x14ac:dyDescent="0.25">
      <c r="E96" s="75">
        <f>0.6275*2</f>
        <v>1.2549999999999999</v>
      </c>
      <c r="F96" s="75"/>
      <c r="G96" s="75"/>
      <c r="H96" s="75"/>
      <c r="I96" s="75"/>
      <c r="J96" s="75"/>
      <c r="K96" s="75"/>
      <c r="L96" s="75"/>
      <c r="M96" s="101" t="s">
        <v>5</v>
      </c>
      <c r="N96" s="76">
        <f>(P96*Variables!C1/Variables!C3)</f>
        <v>1.2549450549450549</v>
      </c>
      <c r="O96" s="101" t="s">
        <v>5</v>
      </c>
      <c r="P96" s="76">
        <f>(IF(E96&lt;0,0,IF(E96&gt;1.8,4095,ROUND(((E96*4095)/1.8),0))))</f>
        <v>2855</v>
      </c>
      <c r="Q96" s="2" t="s">
        <v>95</v>
      </c>
      <c r="R96" s="13">
        <f>_xlfn.BITAND(P96,255)</f>
        <v>39</v>
      </c>
      <c r="S96" s="13" t="str">
        <f>IF(R96&lt;16,CONCATENATE("0x0",(DEC2HEX(R96))),CONCATENATE("0x",(DEC2HEX(R96))))</f>
        <v>0x27</v>
      </c>
      <c r="T96" s="5" t="str">
        <f>DEC2BIN(R96,8)</f>
        <v>00100111</v>
      </c>
    </row>
    <row r="97" spans="4:20" x14ac:dyDescent="0.25">
      <c r="D97" t="s">
        <v>203</v>
      </c>
      <c r="E97" s="75"/>
      <c r="F97" s="75"/>
      <c r="G97" s="75"/>
      <c r="H97" s="75"/>
      <c r="I97" s="75"/>
      <c r="J97" s="75"/>
      <c r="K97" s="75"/>
      <c r="L97" s="75"/>
      <c r="M97" s="101"/>
      <c r="N97" s="76"/>
      <c r="O97" s="101"/>
      <c r="P97" s="76"/>
      <c r="Q97" s="2"/>
      <c r="R97" s="1"/>
      <c r="S97" s="1"/>
      <c r="T97" s="1"/>
    </row>
    <row r="98" spans="4:20" x14ac:dyDescent="0.25">
      <c r="E98" s="75"/>
      <c r="F98" s="75"/>
      <c r="G98" s="75"/>
      <c r="H98" s="75"/>
      <c r="I98" s="75"/>
      <c r="J98" s="75"/>
      <c r="K98" s="75"/>
      <c r="L98" s="75"/>
      <c r="M98" s="101"/>
      <c r="N98" s="76"/>
      <c r="O98" s="101"/>
      <c r="P98" s="76"/>
      <c r="Q98" s="2" t="s">
        <v>96</v>
      </c>
      <c r="R98" s="13">
        <f>((_xlfn.BITAND(P96,3840))/(2^8))</f>
        <v>11</v>
      </c>
      <c r="S98" s="13" t="str">
        <f>IF(R98&lt;16,CONCATENATE("0x0",(DEC2HEX(R98))),CONCATENATE("0x",(DEC2HEX(R98))))</f>
        <v>0x0B</v>
      </c>
      <c r="T98" s="5" t="str">
        <f>DEC2BIN(R98,8)</f>
        <v>00001011</v>
      </c>
    </row>
    <row r="99" spans="4:20" x14ac:dyDescent="0.25">
      <c r="E99" s="73" t="s">
        <v>100</v>
      </c>
      <c r="F99" s="73"/>
      <c r="G99" s="73"/>
      <c r="H99" s="73"/>
      <c r="I99" s="73"/>
      <c r="J99" s="73"/>
      <c r="K99" s="73"/>
      <c r="L99" s="73"/>
      <c r="M99" s="1"/>
      <c r="P99" s="1"/>
      <c r="Q99" s="2"/>
      <c r="R99" s="2"/>
      <c r="S99" s="2"/>
      <c r="T99" s="1"/>
    </row>
    <row r="100" spans="4:20" x14ac:dyDescent="0.25">
      <c r="E100" s="75">
        <f>0.3409*2</f>
        <v>0.68179999999999996</v>
      </c>
      <c r="F100" s="75"/>
      <c r="G100" s="75"/>
      <c r="H100" s="75"/>
      <c r="I100" s="75"/>
      <c r="J100" s="75"/>
      <c r="K100" s="75"/>
      <c r="L100" s="75"/>
      <c r="M100" s="101" t="s">
        <v>5</v>
      </c>
      <c r="N100" s="76">
        <f>(P100*Variables!C1/Variables!C3)</f>
        <v>0.68175824175824185</v>
      </c>
      <c r="O100" s="101" t="s">
        <v>5</v>
      </c>
      <c r="P100" s="76">
        <f>(IF(E100&lt;0,0,IF(E100&gt;1.8,4095,ROUND(((E100*4095)/1.8),0))))</f>
        <v>1551</v>
      </c>
      <c r="Q100" s="2" t="s">
        <v>97</v>
      </c>
      <c r="R100" s="13">
        <f>_xlfn.BITAND(P100,255)</f>
        <v>15</v>
      </c>
      <c r="S100" s="13" t="str">
        <f>IF(R100&lt;16,CONCATENATE("0x0",(DEC2HEX(R100))),CONCATENATE("0x",(DEC2HEX(R100))))</f>
        <v>0x0F</v>
      </c>
      <c r="T100" s="5" t="str">
        <f>DEC2BIN(R100,8)</f>
        <v>00001111</v>
      </c>
    </row>
    <row r="101" spans="4:20" x14ac:dyDescent="0.25">
      <c r="D101" t="s">
        <v>204</v>
      </c>
      <c r="E101" s="75"/>
      <c r="F101" s="75"/>
      <c r="G101" s="75"/>
      <c r="H101" s="75"/>
      <c r="I101" s="75"/>
      <c r="J101" s="75"/>
      <c r="K101" s="75"/>
      <c r="L101" s="75"/>
      <c r="M101" s="101"/>
      <c r="N101" s="76"/>
      <c r="O101" s="101"/>
      <c r="P101" s="76"/>
      <c r="Q101" s="2"/>
      <c r="R101" s="1"/>
      <c r="S101" s="1"/>
      <c r="T101" s="1"/>
    </row>
    <row r="102" spans="4:20" x14ac:dyDescent="0.25">
      <c r="E102" s="75"/>
      <c r="F102" s="75"/>
      <c r="G102" s="75"/>
      <c r="H102" s="75"/>
      <c r="I102" s="75"/>
      <c r="J102" s="75"/>
      <c r="K102" s="75"/>
      <c r="L102" s="75"/>
      <c r="M102" s="101"/>
      <c r="N102" s="76"/>
      <c r="O102" s="101"/>
      <c r="P102" s="76"/>
      <c r="Q102" s="2" t="s">
        <v>98</v>
      </c>
      <c r="R102" s="13">
        <f>((_xlfn.BITAND(P100,3840))/(2^8))</f>
        <v>6</v>
      </c>
      <c r="S102" s="13" t="str">
        <f>IF(R102&lt;16,CONCATENATE("0x0",(DEC2HEX(R102))),CONCATENATE("0x",(DEC2HEX(R102))))</f>
        <v>0x06</v>
      </c>
      <c r="T102" s="5" t="str">
        <f>DEC2BIN(R102,8)</f>
        <v>00000110</v>
      </c>
    </row>
    <row r="103" spans="4:20" x14ac:dyDescent="0.25">
      <c r="E103" s="73" t="s">
        <v>101</v>
      </c>
      <c r="F103" s="73"/>
      <c r="G103" s="73"/>
      <c r="H103" s="73"/>
      <c r="I103" s="73"/>
      <c r="J103" s="73"/>
      <c r="K103" s="73"/>
      <c r="L103" s="73"/>
      <c r="M103" s="1"/>
      <c r="P103" s="9"/>
      <c r="Q103" s="19"/>
      <c r="R103" s="19"/>
      <c r="S103" s="2"/>
      <c r="T103" s="1"/>
    </row>
    <row r="104" spans="4:20" x14ac:dyDescent="0.25">
      <c r="E104" s="75">
        <f>0.380481924339651*2</f>
        <v>0.760963848679302</v>
      </c>
      <c r="F104" s="75"/>
      <c r="G104" s="75"/>
      <c r="H104" s="75"/>
      <c r="I104" s="75"/>
      <c r="J104" s="75"/>
      <c r="K104" s="75"/>
      <c r="L104" s="75"/>
      <c r="M104" s="101" t="s">
        <v>5</v>
      </c>
      <c r="N104" s="76">
        <f>(P104*Variables!C1/Variables!C3)</f>
        <v>0.76087912087912091</v>
      </c>
      <c r="O104" s="105" t="s">
        <v>5</v>
      </c>
      <c r="P104" s="76">
        <f>(IF(E104&lt;0,0,IF(E104&gt;1.8,4095,ROUND(((E104*4095)/1.8),0))))</f>
        <v>1731</v>
      </c>
      <c r="Q104" s="2" t="s">
        <v>99</v>
      </c>
      <c r="R104" s="13">
        <f>_xlfn.BITAND(P104,255)</f>
        <v>195</v>
      </c>
      <c r="S104" s="27" t="str">
        <f>IF(R104&lt;16,CONCATENATE("0x0",(DEC2HEX(R104))),CONCATENATE("0x",(DEC2HEX(R104))))</f>
        <v>0xC3</v>
      </c>
      <c r="T104" s="5" t="str">
        <f>DEC2BIN(R104,8)</f>
        <v>11000011</v>
      </c>
    </row>
    <row r="105" spans="4:20" x14ac:dyDescent="0.25">
      <c r="D105" t="s">
        <v>205</v>
      </c>
      <c r="E105" s="75"/>
      <c r="F105" s="75"/>
      <c r="G105" s="75"/>
      <c r="H105" s="75"/>
      <c r="I105" s="75"/>
      <c r="J105" s="75"/>
      <c r="K105" s="75"/>
      <c r="L105" s="75"/>
      <c r="M105" s="101"/>
      <c r="N105" s="76"/>
      <c r="O105" s="105"/>
      <c r="P105" s="76"/>
      <c r="Q105" s="2"/>
      <c r="R105" s="1"/>
      <c r="S105" s="6"/>
      <c r="T105" s="1"/>
    </row>
    <row r="106" spans="4:20" x14ac:dyDescent="0.25">
      <c r="E106" s="75"/>
      <c r="F106" s="75"/>
      <c r="G106" s="75"/>
      <c r="H106" s="75"/>
      <c r="I106" s="75"/>
      <c r="J106" s="75"/>
      <c r="K106" s="75"/>
      <c r="L106" s="75"/>
      <c r="M106" s="101"/>
      <c r="N106" s="76"/>
      <c r="O106" s="105"/>
      <c r="P106" s="76"/>
      <c r="Q106" s="2" t="s">
        <v>105</v>
      </c>
      <c r="R106" s="13">
        <f>((_xlfn.BITAND(P104,3840))/(2^8))</f>
        <v>6</v>
      </c>
      <c r="S106" s="27" t="str">
        <f>IF(R106&lt;16,CONCATENATE("0x0",(DEC2HEX(R106))),CONCATENATE("0x",(DEC2HEX(R106))))</f>
        <v>0x06</v>
      </c>
      <c r="T106" s="5" t="str">
        <f>DEC2BIN(R106,8)</f>
        <v>00000110</v>
      </c>
    </row>
    <row r="107" spans="4:20" x14ac:dyDescent="0.25">
      <c r="E107" s="73" t="s">
        <v>106</v>
      </c>
      <c r="F107" s="73"/>
      <c r="G107" s="73"/>
      <c r="H107" s="73"/>
      <c r="I107" s="73"/>
      <c r="J107" s="73"/>
      <c r="K107" s="73"/>
      <c r="L107" s="73"/>
      <c r="M107" s="1"/>
      <c r="P107" s="9"/>
      <c r="Q107" s="19"/>
      <c r="R107" s="19"/>
      <c r="S107" s="2"/>
      <c r="T107" s="1"/>
    </row>
    <row r="108" spans="4:20" x14ac:dyDescent="0.25">
      <c r="E108" s="75">
        <f>0.2363*2</f>
        <v>0.47260000000000002</v>
      </c>
      <c r="F108" s="75"/>
      <c r="G108" s="75"/>
      <c r="H108" s="75"/>
      <c r="I108" s="75"/>
      <c r="J108" s="75"/>
      <c r="K108" s="75"/>
      <c r="L108" s="75"/>
      <c r="M108" s="101" t="s">
        <v>5</v>
      </c>
      <c r="N108" s="76">
        <f>(P108*Variables!C1/Variables!C3)</f>
        <v>0.47252747252747251</v>
      </c>
      <c r="O108" s="105" t="s">
        <v>5</v>
      </c>
      <c r="P108" s="76">
        <f>(IF(E108&lt;0,0,IF(E108&gt;1.8,4095,ROUND(((E108*4095)/1.8),0))))</f>
        <v>1075</v>
      </c>
      <c r="Q108" s="2" t="s">
        <v>103</v>
      </c>
      <c r="R108" s="13">
        <f>_xlfn.BITAND(P108,255)</f>
        <v>51</v>
      </c>
      <c r="S108" s="27" t="str">
        <f>IF(R108&lt;16,CONCATENATE("0x0",(DEC2HEX(R108))),CONCATENATE("0x",(DEC2HEX(R108))))</f>
        <v>0x33</v>
      </c>
      <c r="T108" s="5" t="str">
        <f>DEC2BIN(R108,8)</f>
        <v>00110011</v>
      </c>
    </row>
    <row r="109" spans="4:20" x14ac:dyDescent="0.25">
      <c r="D109" t="s">
        <v>206</v>
      </c>
      <c r="E109" s="75"/>
      <c r="F109" s="75"/>
      <c r="G109" s="75"/>
      <c r="H109" s="75"/>
      <c r="I109" s="75"/>
      <c r="J109" s="75"/>
      <c r="K109" s="75"/>
      <c r="L109" s="75"/>
      <c r="M109" s="101"/>
      <c r="N109" s="76"/>
      <c r="O109" s="105"/>
      <c r="P109" s="76"/>
      <c r="Q109" s="2"/>
      <c r="R109" s="1"/>
      <c r="S109" s="6"/>
      <c r="T109" s="1"/>
    </row>
    <row r="110" spans="4:20" x14ac:dyDescent="0.25">
      <c r="E110" s="75"/>
      <c r="F110" s="75"/>
      <c r="G110" s="75"/>
      <c r="H110" s="75"/>
      <c r="I110" s="75"/>
      <c r="J110" s="75"/>
      <c r="K110" s="75"/>
      <c r="L110" s="75"/>
      <c r="M110" s="101"/>
      <c r="N110" s="76"/>
      <c r="O110" s="105"/>
      <c r="P110" s="76"/>
      <c r="Q110" s="2" t="s">
        <v>104</v>
      </c>
      <c r="R110" s="13">
        <f>((_xlfn.BITAND(P108,3840))/(2^8))</f>
        <v>4</v>
      </c>
      <c r="S110" s="27" t="str">
        <f>IF(R110&lt;16,CONCATENATE("0x0",(DEC2HEX(R110))),CONCATENATE("0x",(DEC2HEX(R110))))</f>
        <v>0x04</v>
      </c>
      <c r="T110" s="5" t="str">
        <f>DEC2BIN(R110,8)</f>
        <v>00000100</v>
      </c>
    </row>
    <row r="111" spans="4:20" x14ac:dyDescent="0.25">
      <c r="E111" s="73" t="s">
        <v>102</v>
      </c>
      <c r="F111" s="73"/>
      <c r="G111" s="73"/>
      <c r="H111" s="73"/>
      <c r="I111" s="73"/>
      <c r="J111" s="73"/>
      <c r="K111" s="73"/>
      <c r="L111" s="73"/>
      <c r="M111" s="1"/>
      <c r="P111" s="9"/>
      <c r="Q111" s="19"/>
      <c r="R111" s="19"/>
      <c r="S111" s="2"/>
      <c r="T111" s="1"/>
    </row>
    <row r="112" spans="4:20" x14ac:dyDescent="0.25">
      <c r="E112" s="75">
        <f>0.2683*2</f>
        <v>0.53659999999999997</v>
      </c>
      <c r="F112" s="75"/>
      <c r="G112" s="75"/>
      <c r="H112" s="75"/>
      <c r="I112" s="75"/>
      <c r="J112" s="75"/>
      <c r="K112" s="75"/>
      <c r="L112" s="75"/>
      <c r="M112" s="101" t="s">
        <v>5</v>
      </c>
      <c r="N112" s="76">
        <f>(P112*Variables!C1/Variables!C3)</f>
        <v>0.53670329670329675</v>
      </c>
      <c r="O112" s="105" t="s">
        <v>5</v>
      </c>
      <c r="P112" s="76">
        <f>(IF(E112&lt;0,0,IF(E112&gt;1.8,4095,ROUND(((E112*4095)/1.8),0))))</f>
        <v>1221</v>
      </c>
      <c r="Q112" s="2" t="s">
        <v>107</v>
      </c>
      <c r="R112" s="13">
        <f>_xlfn.BITAND(P112,255)</f>
        <v>197</v>
      </c>
      <c r="S112" s="27" t="str">
        <f>IF(R112&lt;16,CONCATENATE("0x0",(DEC2HEX(R112))),CONCATENATE("0x",(DEC2HEX(R112))))</f>
        <v>0xC5</v>
      </c>
      <c r="T112" s="5" t="str">
        <f>DEC2BIN(R112,8)</f>
        <v>11000101</v>
      </c>
    </row>
    <row r="113" spans="4:20" x14ac:dyDescent="0.25">
      <c r="D113" t="s">
        <v>207</v>
      </c>
      <c r="E113" s="75"/>
      <c r="F113" s="75"/>
      <c r="G113" s="75"/>
      <c r="H113" s="75"/>
      <c r="I113" s="75"/>
      <c r="J113" s="75"/>
      <c r="K113" s="75"/>
      <c r="L113" s="75"/>
      <c r="M113" s="101"/>
      <c r="N113" s="76"/>
      <c r="O113" s="105"/>
      <c r="P113" s="76"/>
      <c r="Q113" s="2"/>
      <c r="R113" s="1"/>
      <c r="S113" s="6"/>
      <c r="T113" s="1"/>
    </row>
    <row r="114" spans="4:20" x14ac:dyDescent="0.25">
      <c r="E114" s="75"/>
      <c r="F114" s="75"/>
      <c r="G114" s="75"/>
      <c r="H114" s="75"/>
      <c r="I114" s="75"/>
      <c r="J114" s="75"/>
      <c r="K114" s="75"/>
      <c r="L114" s="75"/>
      <c r="M114" s="101"/>
      <c r="N114" s="76"/>
      <c r="O114" s="105"/>
      <c r="P114" s="76"/>
      <c r="Q114" s="2" t="s">
        <v>108</v>
      </c>
      <c r="R114" s="13">
        <f>((_xlfn.BITAND(P112,3840))/(2^8))</f>
        <v>4</v>
      </c>
      <c r="S114" s="27" t="str">
        <f>IF(R114&lt;16,CONCATENATE("0x0",(DEC2HEX(R114))),CONCATENATE("0x",(DEC2HEX(R114))))</f>
        <v>0x04</v>
      </c>
      <c r="T114" s="5" t="str">
        <f>DEC2BIN(R114,8)</f>
        <v>00000100</v>
      </c>
    </row>
    <row r="115" spans="4:20" x14ac:dyDescent="0.25">
      <c r="E115" s="73" t="s">
        <v>109</v>
      </c>
      <c r="F115" s="73"/>
      <c r="G115" s="73"/>
      <c r="H115" s="73"/>
      <c r="I115" s="73"/>
      <c r="J115" s="73"/>
      <c r="K115" s="73"/>
      <c r="L115" s="73"/>
      <c r="M115" s="1"/>
      <c r="P115" s="9"/>
      <c r="Q115" s="19"/>
      <c r="R115" s="19"/>
      <c r="S115" s="2"/>
      <c r="T115" s="1"/>
    </row>
    <row r="116" spans="4:20" x14ac:dyDescent="0.25">
      <c r="E116" s="75">
        <f>0.6564*2</f>
        <v>1.3128</v>
      </c>
      <c r="F116" s="75"/>
      <c r="G116" s="75"/>
      <c r="H116" s="75"/>
      <c r="I116" s="75"/>
      <c r="J116" s="75"/>
      <c r="K116" s="75"/>
      <c r="L116" s="75"/>
      <c r="M116" s="101" t="s">
        <v>5</v>
      </c>
      <c r="N116" s="76">
        <f>(P116*Variables!C1/Variables!C3)</f>
        <v>1.3129670329670331</v>
      </c>
      <c r="O116" s="105" t="s">
        <v>5</v>
      </c>
      <c r="P116" s="76">
        <f>(IF(E116&lt;0,0,IF(E116&gt;1.8,4095,ROUND(((E116*4095)/1.8),0))))</f>
        <v>2987</v>
      </c>
      <c r="Q116" s="2" t="s">
        <v>110</v>
      </c>
      <c r="R116" s="13">
        <f>_xlfn.BITAND(P116,255)</f>
        <v>171</v>
      </c>
      <c r="S116" s="27" t="str">
        <f>IF(R116&lt;16,CONCATENATE("0x0",(DEC2HEX(R116))),CONCATENATE("0x",(DEC2HEX(R116))))</f>
        <v>0xAB</v>
      </c>
      <c r="T116" s="5" t="str">
        <f>DEC2BIN(R116,8)</f>
        <v>10101011</v>
      </c>
    </row>
    <row r="117" spans="4:20" x14ac:dyDescent="0.25">
      <c r="D117" t="s">
        <v>208</v>
      </c>
      <c r="E117" s="75"/>
      <c r="F117" s="75"/>
      <c r="G117" s="75"/>
      <c r="H117" s="75"/>
      <c r="I117" s="75"/>
      <c r="J117" s="75"/>
      <c r="K117" s="75"/>
      <c r="L117" s="75"/>
      <c r="M117" s="101"/>
      <c r="N117" s="76"/>
      <c r="O117" s="105"/>
      <c r="P117" s="76"/>
      <c r="Q117" s="2"/>
      <c r="R117" s="1"/>
      <c r="S117" s="6"/>
      <c r="T117" s="1"/>
    </row>
    <row r="118" spans="4:20" x14ac:dyDescent="0.25">
      <c r="E118" s="75"/>
      <c r="F118" s="75"/>
      <c r="G118" s="75"/>
      <c r="H118" s="75"/>
      <c r="I118" s="75"/>
      <c r="J118" s="75"/>
      <c r="K118" s="75"/>
      <c r="L118" s="75"/>
      <c r="M118" s="101"/>
      <c r="N118" s="76"/>
      <c r="O118" s="105"/>
      <c r="P118" s="76"/>
      <c r="Q118" s="2" t="s">
        <v>111</v>
      </c>
      <c r="R118" s="13">
        <f>((_xlfn.BITAND(P116,3840))/(2^8))</f>
        <v>11</v>
      </c>
      <c r="S118" s="27" t="str">
        <f>IF(R118&lt;16,CONCATENATE("0x0",(DEC2HEX(R118))),CONCATENATE("0x",(DEC2HEX(R118))))</f>
        <v>0x0B</v>
      </c>
      <c r="T118" s="5" t="str">
        <f>DEC2BIN(R118,8)</f>
        <v>00001011</v>
      </c>
    </row>
    <row r="119" spans="4:20" x14ac:dyDescent="0.25">
      <c r="E119" s="73" t="s">
        <v>112</v>
      </c>
      <c r="F119" s="73"/>
      <c r="G119" s="73"/>
      <c r="H119" s="73"/>
      <c r="I119" s="73"/>
      <c r="J119" s="73"/>
      <c r="K119" s="73"/>
      <c r="L119" s="73"/>
      <c r="M119" s="1"/>
      <c r="P119" s="9"/>
      <c r="Q119" s="19"/>
      <c r="R119" s="19"/>
      <c r="S119" s="2"/>
      <c r="T119" s="1"/>
    </row>
    <row r="120" spans="4:20" x14ac:dyDescent="0.25">
      <c r="E120" s="75">
        <f>0.6453*2</f>
        <v>1.2906</v>
      </c>
      <c r="F120" s="75"/>
      <c r="G120" s="75"/>
      <c r="H120" s="75"/>
      <c r="I120" s="75"/>
      <c r="J120" s="75"/>
      <c r="K120" s="75"/>
      <c r="L120" s="75"/>
      <c r="M120" s="101" t="s">
        <v>5</v>
      </c>
      <c r="N120" s="76">
        <f>(P120*Variables!C1/Variables!C3)</f>
        <v>1.2905494505494506</v>
      </c>
      <c r="O120" s="105" t="s">
        <v>5</v>
      </c>
      <c r="P120" s="76">
        <f>(IF(E120&lt;0,0,IF(E120&gt;1.8,4095,ROUND(((E120*4095)/1.8),0))))</f>
        <v>2936</v>
      </c>
      <c r="Q120" s="2" t="s">
        <v>113</v>
      </c>
      <c r="R120" s="13">
        <f>_xlfn.BITAND(P120,255)</f>
        <v>120</v>
      </c>
      <c r="S120" s="27" t="str">
        <f>IF(R120&lt;16,CONCATENATE("0x0",(DEC2HEX(R120))),CONCATENATE("0x",(DEC2HEX(R120))))</f>
        <v>0x78</v>
      </c>
      <c r="T120" s="5" t="str">
        <f>DEC2BIN(R120,8)</f>
        <v>01111000</v>
      </c>
    </row>
    <row r="121" spans="4:20" x14ac:dyDescent="0.25">
      <c r="D121" t="s">
        <v>209</v>
      </c>
      <c r="E121" s="75"/>
      <c r="F121" s="75"/>
      <c r="G121" s="75"/>
      <c r="H121" s="75"/>
      <c r="I121" s="75"/>
      <c r="J121" s="75"/>
      <c r="K121" s="75"/>
      <c r="L121" s="75"/>
      <c r="M121" s="101"/>
      <c r="N121" s="76"/>
      <c r="O121" s="105"/>
      <c r="P121" s="76"/>
      <c r="Q121" s="2"/>
      <c r="R121" s="1"/>
      <c r="S121" s="6"/>
      <c r="T121" s="1"/>
    </row>
    <row r="122" spans="4:20" x14ac:dyDescent="0.25">
      <c r="E122" s="75"/>
      <c r="F122" s="75"/>
      <c r="G122" s="75"/>
      <c r="H122" s="75"/>
      <c r="I122" s="75"/>
      <c r="J122" s="75"/>
      <c r="K122" s="75"/>
      <c r="L122" s="75"/>
      <c r="M122" s="101"/>
      <c r="N122" s="76"/>
      <c r="O122" s="105"/>
      <c r="P122" s="76"/>
      <c r="Q122" s="2" t="s">
        <v>114</v>
      </c>
      <c r="R122" s="13">
        <f>((_xlfn.BITAND(P120,3840))/(2^8))</f>
        <v>11</v>
      </c>
      <c r="S122" s="27" t="str">
        <f>IF(R122&lt;16,CONCATENATE("0x0",(DEC2HEX(R122))),CONCATENATE("0x",(DEC2HEX(R122))))</f>
        <v>0x0B</v>
      </c>
      <c r="T122" s="5" t="str">
        <f>DEC2BIN(R122,8)</f>
        <v>00001011</v>
      </c>
    </row>
    <row r="123" spans="4:20" x14ac:dyDescent="0.25">
      <c r="E123" s="73" t="s">
        <v>115</v>
      </c>
      <c r="F123" s="73"/>
      <c r="G123" s="73"/>
      <c r="H123" s="73"/>
      <c r="I123" s="73"/>
      <c r="J123" s="73"/>
      <c r="K123" s="73"/>
      <c r="L123" s="73"/>
      <c r="M123" s="1"/>
      <c r="P123" s="9"/>
      <c r="Q123" s="19"/>
      <c r="R123" s="19"/>
      <c r="S123" s="2"/>
      <c r="T123" s="1"/>
    </row>
    <row r="124" spans="4:20" x14ac:dyDescent="0.25">
      <c r="E124" s="75">
        <f>0.2363*2</f>
        <v>0.47260000000000002</v>
      </c>
      <c r="F124" s="75"/>
      <c r="G124" s="75"/>
      <c r="H124" s="75"/>
      <c r="I124" s="75"/>
      <c r="J124" s="75"/>
      <c r="K124" s="75"/>
      <c r="L124" s="75"/>
      <c r="M124" s="101" t="s">
        <v>5</v>
      </c>
      <c r="N124" s="76">
        <f>(P124*Variables!C1/Variables!C3)</f>
        <v>0.47252747252747251</v>
      </c>
      <c r="O124" s="105" t="s">
        <v>5</v>
      </c>
      <c r="P124" s="76">
        <f>(IF(E124&lt;0,0,IF(E124&gt;1.8,4095,ROUND(((E124*4095)/1.8),0))))</f>
        <v>1075</v>
      </c>
      <c r="Q124" s="2" t="s">
        <v>116</v>
      </c>
      <c r="R124" s="13">
        <f>_xlfn.BITAND(P124,255)</f>
        <v>51</v>
      </c>
      <c r="S124" s="27" t="str">
        <f>IF(R124&lt;16,CONCATENATE("0x0",(DEC2HEX(R124))),CONCATENATE("0x",(DEC2HEX(R124))))</f>
        <v>0x33</v>
      </c>
      <c r="T124" s="5" t="str">
        <f>DEC2BIN(R124,8)</f>
        <v>00110011</v>
      </c>
    </row>
    <row r="125" spans="4:20" x14ac:dyDescent="0.25">
      <c r="D125" t="s">
        <v>206</v>
      </c>
      <c r="E125" s="75"/>
      <c r="F125" s="75"/>
      <c r="G125" s="75"/>
      <c r="H125" s="75"/>
      <c r="I125" s="75"/>
      <c r="J125" s="75"/>
      <c r="K125" s="75"/>
      <c r="L125" s="75"/>
      <c r="M125" s="101"/>
      <c r="N125" s="76"/>
      <c r="O125" s="105"/>
      <c r="P125" s="76"/>
      <c r="Q125" s="2"/>
      <c r="R125" s="1"/>
      <c r="S125" s="6"/>
      <c r="T125" s="1"/>
    </row>
    <row r="126" spans="4:20" x14ac:dyDescent="0.25">
      <c r="E126" s="75"/>
      <c r="F126" s="75"/>
      <c r="G126" s="75"/>
      <c r="H126" s="75"/>
      <c r="I126" s="75"/>
      <c r="J126" s="75"/>
      <c r="K126" s="75"/>
      <c r="L126" s="75"/>
      <c r="M126" s="101"/>
      <c r="N126" s="76"/>
      <c r="O126" s="105"/>
      <c r="P126" s="76"/>
      <c r="Q126" s="2" t="s">
        <v>117</v>
      </c>
      <c r="R126" s="13">
        <f>((_xlfn.BITAND(P124,3840))/(2^8))</f>
        <v>4</v>
      </c>
      <c r="S126" s="27" t="str">
        <f>IF(R126&lt;16,CONCATENATE("0x0",(DEC2HEX(R126))),CONCATENATE("0x",(DEC2HEX(R126))))</f>
        <v>0x04</v>
      </c>
      <c r="T126" s="5" t="str">
        <f>DEC2BIN(R126,8)</f>
        <v>00000100</v>
      </c>
    </row>
    <row r="127" spans="4:20" x14ac:dyDescent="0.25">
      <c r="E127" s="73" t="s">
        <v>118</v>
      </c>
      <c r="F127" s="73"/>
      <c r="G127" s="73"/>
      <c r="H127" s="73"/>
      <c r="I127" s="73"/>
      <c r="J127" s="73"/>
      <c r="K127" s="73"/>
      <c r="L127" s="73"/>
      <c r="M127" s="1"/>
      <c r="P127" s="9"/>
      <c r="Q127" s="19"/>
      <c r="R127" s="19"/>
      <c r="S127" s="2"/>
      <c r="T127" s="1"/>
    </row>
    <row r="128" spans="4:20" x14ac:dyDescent="0.25">
      <c r="E128" s="75">
        <f>0.2683*2</f>
        <v>0.53659999999999997</v>
      </c>
      <c r="F128" s="75"/>
      <c r="G128" s="75"/>
      <c r="H128" s="75"/>
      <c r="I128" s="75"/>
      <c r="J128" s="75"/>
      <c r="K128" s="75"/>
      <c r="L128" s="75"/>
      <c r="M128" s="101" t="s">
        <v>5</v>
      </c>
      <c r="N128" s="76">
        <f>(P128*Variables!C1/Variables!C3)</f>
        <v>0.53670329670329675</v>
      </c>
      <c r="O128" s="105" t="s">
        <v>5</v>
      </c>
      <c r="P128" s="76">
        <f>(IF(E128&lt;0,0,IF(E128&gt;1.8,4095,ROUND(((E128*4095)/1.8),0))))</f>
        <v>1221</v>
      </c>
      <c r="Q128" s="2" t="s">
        <v>119</v>
      </c>
      <c r="R128" s="13">
        <f>_xlfn.BITAND(P128,255)</f>
        <v>197</v>
      </c>
      <c r="S128" s="27" t="str">
        <f>IF(R128&lt;16,CONCATENATE("0x0",(DEC2HEX(R128))),CONCATENATE("0x",(DEC2HEX(R128))))</f>
        <v>0xC5</v>
      </c>
      <c r="T128" s="5" t="str">
        <f>DEC2BIN(R128,8)</f>
        <v>11000101</v>
      </c>
    </row>
    <row r="129" spans="4:20" x14ac:dyDescent="0.25">
      <c r="D129" t="s">
        <v>207</v>
      </c>
      <c r="E129" s="75"/>
      <c r="F129" s="75"/>
      <c r="G129" s="75"/>
      <c r="H129" s="75"/>
      <c r="I129" s="75"/>
      <c r="J129" s="75"/>
      <c r="K129" s="75"/>
      <c r="L129" s="75"/>
      <c r="M129" s="101"/>
      <c r="N129" s="76"/>
      <c r="O129" s="105"/>
      <c r="P129" s="76"/>
      <c r="Q129" s="2"/>
      <c r="R129" s="1"/>
      <c r="S129" s="6"/>
      <c r="T129" s="1"/>
    </row>
    <row r="130" spans="4:20" x14ac:dyDescent="0.25">
      <c r="E130" s="75"/>
      <c r="F130" s="75"/>
      <c r="G130" s="75"/>
      <c r="H130" s="75"/>
      <c r="I130" s="75"/>
      <c r="J130" s="75"/>
      <c r="K130" s="75"/>
      <c r="L130" s="75"/>
      <c r="M130" s="101"/>
      <c r="N130" s="76"/>
      <c r="O130" s="105"/>
      <c r="P130" s="76"/>
      <c r="Q130" s="2" t="s">
        <v>120</v>
      </c>
      <c r="R130" s="13">
        <f>((_xlfn.BITAND(P128,3840))/(2^8))</f>
        <v>4</v>
      </c>
      <c r="S130" s="27" t="str">
        <f>IF(R130&lt;16,CONCATENATE("0x0",(DEC2HEX(R130))),CONCATENATE("0x",(DEC2HEX(R130))))</f>
        <v>0x04</v>
      </c>
      <c r="T130" s="5" t="str">
        <f>DEC2BIN(R130,8)</f>
        <v>00000100</v>
      </c>
    </row>
    <row r="131" spans="4:20" x14ac:dyDescent="0.25">
      <c r="E131" s="73" t="s">
        <v>123</v>
      </c>
      <c r="F131" s="73"/>
      <c r="G131" s="73"/>
      <c r="H131" s="73"/>
      <c r="I131" s="73"/>
      <c r="J131" s="73"/>
      <c r="K131" s="73"/>
      <c r="L131" s="73"/>
      <c r="M131" s="1"/>
      <c r="P131" s="9"/>
      <c r="Q131" s="19"/>
      <c r="R131" s="19"/>
      <c r="S131" s="2"/>
      <c r="T131" s="1"/>
    </row>
    <row r="132" spans="4:20" x14ac:dyDescent="0.25">
      <c r="E132" s="75">
        <f>0.6564*2</f>
        <v>1.3128</v>
      </c>
      <c r="F132" s="75"/>
      <c r="G132" s="75"/>
      <c r="H132" s="75"/>
      <c r="I132" s="75"/>
      <c r="J132" s="75"/>
      <c r="K132" s="75"/>
      <c r="L132" s="75"/>
      <c r="M132" s="101" t="s">
        <v>5</v>
      </c>
      <c r="N132" s="76">
        <f>(P132*Variables!C1/Variables!C3)</f>
        <v>1.3129670329670331</v>
      </c>
      <c r="O132" s="105" t="s">
        <v>5</v>
      </c>
      <c r="P132" s="76">
        <f>(IF(E132&lt;0,0,IF(E132&gt;1.8,4095,ROUND(((E132*4095)/1.8),0))))</f>
        <v>2987</v>
      </c>
      <c r="Q132" s="2" t="s">
        <v>121</v>
      </c>
      <c r="R132" s="13">
        <f>_xlfn.BITAND(P132,255)</f>
        <v>171</v>
      </c>
      <c r="S132" s="27" t="str">
        <f>IF(R132&lt;16,CONCATENATE("0x0",(DEC2HEX(R132))),CONCATENATE("0x",(DEC2HEX(R132))))</f>
        <v>0xAB</v>
      </c>
      <c r="T132" s="5" t="str">
        <f>DEC2BIN(R132,8)</f>
        <v>10101011</v>
      </c>
    </row>
    <row r="133" spans="4:20" x14ac:dyDescent="0.25">
      <c r="D133" t="s">
        <v>208</v>
      </c>
      <c r="E133" s="75"/>
      <c r="F133" s="75"/>
      <c r="G133" s="75"/>
      <c r="H133" s="75"/>
      <c r="I133" s="75"/>
      <c r="J133" s="75"/>
      <c r="K133" s="75"/>
      <c r="L133" s="75"/>
      <c r="M133" s="101"/>
      <c r="N133" s="76"/>
      <c r="O133" s="105"/>
      <c r="P133" s="76"/>
      <c r="Q133" s="2"/>
      <c r="R133" s="1"/>
      <c r="S133" s="6"/>
      <c r="T133" s="1"/>
    </row>
    <row r="134" spans="4:20" x14ac:dyDescent="0.25">
      <c r="E134" s="75"/>
      <c r="F134" s="75"/>
      <c r="G134" s="75"/>
      <c r="H134" s="75"/>
      <c r="I134" s="75"/>
      <c r="J134" s="75"/>
      <c r="K134" s="75"/>
      <c r="L134" s="75"/>
      <c r="M134" s="101"/>
      <c r="N134" s="76"/>
      <c r="O134" s="105"/>
      <c r="P134" s="76"/>
      <c r="Q134" s="2" t="s">
        <v>122</v>
      </c>
      <c r="R134" s="13">
        <f>((_xlfn.BITAND(P132,3840))/(2^8))</f>
        <v>11</v>
      </c>
      <c r="S134" s="27" t="str">
        <f>IF(R134&lt;16,CONCATENATE("0x0",(DEC2HEX(R134))),CONCATENATE("0x",(DEC2HEX(R134))))</f>
        <v>0x0B</v>
      </c>
      <c r="T134" s="5" t="str">
        <f>DEC2BIN(R134,8)</f>
        <v>00001011</v>
      </c>
    </row>
    <row r="135" spans="4:20" x14ac:dyDescent="0.25">
      <c r="E135" s="73" t="s">
        <v>124</v>
      </c>
      <c r="F135" s="73"/>
      <c r="G135" s="73"/>
      <c r="H135" s="73"/>
      <c r="I135" s="73"/>
      <c r="J135" s="73"/>
      <c r="K135" s="73"/>
      <c r="L135" s="73"/>
      <c r="M135" s="1"/>
      <c r="P135" s="9"/>
      <c r="Q135" s="19"/>
      <c r="R135" s="19"/>
      <c r="S135" s="2"/>
      <c r="T135" s="1"/>
    </row>
    <row r="136" spans="4:20" x14ac:dyDescent="0.25">
      <c r="E136" s="75">
        <f>0.6453*2</f>
        <v>1.2906</v>
      </c>
      <c r="F136" s="75"/>
      <c r="G136" s="75"/>
      <c r="H136" s="75"/>
      <c r="I136" s="75"/>
      <c r="J136" s="75"/>
      <c r="K136" s="75"/>
      <c r="L136" s="75"/>
      <c r="M136" s="101" t="s">
        <v>5</v>
      </c>
      <c r="N136" s="76">
        <f>(P136*Variables!C1/Variables!C3)</f>
        <v>1.2905494505494506</v>
      </c>
      <c r="O136" s="105" t="s">
        <v>5</v>
      </c>
      <c r="P136" s="76">
        <f>(IF(E136&lt;0,0,IF(E136&gt;1.8,4095,ROUND(((E136*4095)/1.8),0))))</f>
        <v>2936</v>
      </c>
      <c r="Q136" s="2" t="s">
        <v>125</v>
      </c>
      <c r="R136" s="13">
        <f>_xlfn.BITAND(P136,255)</f>
        <v>120</v>
      </c>
      <c r="S136" s="27" t="str">
        <f>IF(R136&lt;16,CONCATENATE("0x0",(DEC2HEX(R136))),CONCATENATE("0x",(DEC2HEX(R136))))</f>
        <v>0x78</v>
      </c>
      <c r="T136" s="5" t="str">
        <f>DEC2BIN(R136,8)</f>
        <v>01111000</v>
      </c>
    </row>
    <row r="137" spans="4:20" x14ac:dyDescent="0.25">
      <c r="D137" t="s">
        <v>209</v>
      </c>
      <c r="E137" s="75"/>
      <c r="F137" s="75"/>
      <c r="G137" s="75"/>
      <c r="H137" s="75"/>
      <c r="I137" s="75"/>
      <c r="J137" s="75"/>
      <c r="K137" s="75"/>
      <c r="L137" s="75"/>
      <c r="M137" s="101"/>
      <c r="N137" s="76"/>
      <c r="O137" s="105"/>
      <c r="P137" s="76"/>
      <c r="Q137" s="2"/>
      <c r="R137" s="1"/>
      <c r="S137" s="6"/>
      <c r="T137" s="1"/>
    </row>
    <row r="138" spans="4:20" x14ac:dyDescent="0.25">
      <c r="E138" s="75"/>
      <c r="F138" s="75"/>
      <c r="G138" s="75"/>
      <c r="H138" s="75"/>
      <c r="I138" s="75"/>
      <c r="J138" s="75"/>
      <c r="K138" s="75"/>
      <c r="L138" s="75"/>
      <c r="M138" s="101"/>
      <c r="N138" s="76"/>
      <c r="O138" s="105"/>
      <c r="P138" s="76"/>
      <c r="Q138" s="2" t="s">
        <v>126</v>
      </c>
      <c r="R138" s="13">
        <f>((_xlfn.BITAND(P136,3840))/(2^8))</f>
        <v>11</v>
      </c>
      <c r="S138" s="27" t="str">
        <f>IF(R138&lt;16,CONCATENATE("0x0",(DEC2HEX(R138))),CONCATENATE("0x",(DEC2HEX(R138))))</f>
        <v>0x0B</v>
      </c>
      <c r="T138" s="5" t="str">
        <f>DEC2BIN(R138,8)</f>
        <v>00001011</v>
      </c>
    </row>
    <row r="139" spans="4:20" x14ac:dyDescent="0.25">
      <c r="E139" s="73" t="s">
        <v>127</v>
      </c>
      <c r="F139" s="73"/>
      <c r="G139" s="73"/>
      <c r="H139" s="73"/>
      <c r="I139" s="73"/>
      <c r="J139" s="73"/>
      <c r="K139" s="73"/>
      <c r="L139" s="73"/>
      <c r="M139" s="1"/>
      <c r="P139" s="9"/>
      <c r="Q139" s="19"/>
      <c r="R139" s="19"/>
      <c r="S139" s="2"/>
      <c r="T139" s="1"/>
    </row>
    <row r="140" spans="4:20" x14ac:dyDescent="0.25">
      <c r="E140" s="59">
        <v>0.71912100000000001</v>
      </c>
      <c r="F140" s="60"/>
      <c r="G140" s="60"/>
      <c r="H140" s="60"/>
      <c r="I140" s="60"/>
      <c r="J140" s="60"/>
      <c r="K140" s="60"/>
      <c r="L140" s="61"/>
      <c r="M140" s="101" t="s">
        <v>5</v>
      </c>
      <c r="N140" s="76">
        <f>(P140*Variables!C1/Variables!C3)</f>
        <v>0.71912087912087919</v>
      </c>
      <c r="O140" s="105" t="s">
        <v>5</v>
      </c>
      <c r="P140" s="76">
        <f>(IF(E140&lt;0,0,IF(E140&gt;1.8,4095,ROUND(((E140*4095)/1.8),0))))</f>
        <v>1636</v>
      </c>
      <c r="Q140" s="2" t="s">
        <v>128</v>
      </c>
      <c r="R140" s="13">
        <f>_xlfn.BITAND(P140,255)</f>
        <v>100</v>
      </c>
      <c r="S140" s="27" t="str">
        <f>IF(R140&lt;16,CONCATENATE("0x0",(DEC2HEX(R140))),CONCATENATE("0x",(DEC2HEX(R140))))</f>
        <v>0x64</v>
      </c>
      <c r="T140" s="5" t="str">
        <f>DEC2BIN(R140,8)</f>
        <v>01100100</v>
      </c>
    </row>
    <row r="141" spans="4:20" x14ac:dyDescent="0.25">
      <c r="E141" s="83"/>
      <c r="F141" s="84"/>
      <c r="G141" s="84"/>
      <c r="H141" s="84"/>
      <c r="I141" s="84"/>
      <c r="J141" s="84"/>
      <c r="K141" s="84"/>
      <c r="L141" s="85"/>
      <c r="M141" s="101"/>
      <c r="N141" s="76"/>
      <c r="O141" s="105"/>
      <c r="P141" s="76"/>
      <c r="Q141" s="2"/>
      <c r="R141" s="1"/>
      <c r="S141" s="6"/>
      <c r="T141" s="1"/>
    </row>
    <row r="142" spans="4:20" x14ac:dyDescent="0.25">
      <c r="E142" s="62"/>
      <c r="F142" s="63"/>
      <c r="G142" s="63"/>
      <c r="H142" s="63"/>
      <c r="I142" s="63"/>
      <c r="J142" s="63"/>
      <c r="K142" s="63"/>
      <c r="L142" s="64"/>
      <c r="M142" s="101"/>
      <c r="N142" s="76"/>
      <c r="O142" s="105"/>
      <c r="P142" s="76"/>
      <c r="Q142" s="2" t="s">
        <v>129</v>
      </c>
      <c r="R142" s="13">
        <f>((_xlfn.BITAND(P140,3840))/(2^8))</f>
        <v>6</v>
      </c>
      <c r="S142" s="27" t="str">
        <f>IF(R142&lt;16,CONCATENATE("0x0",(DEC2HEX(R142))),CONCATENATE("0x",(DEC2HEX(R142))))</f>
        <v>0x06</v>
      </c>
      <c r="T142" s="5" t="str">
        <f>DEC2BIN(R142,8)</f>
        <v>00000110</v>
      </c>
    </row>
    <row r="143" spans="4:20" x14ac:dyDescent="0.25">
      <c r="E143" s="73" t="s">
        <v>130</v>
      </c>
      <c r="F143" s="73"/>
      <c r="G143" s="73"/>
      <c r="H143" s="73"/>
      <c r="I143" s="73"/>
      <c r="J143" s="73"/>
      <c r="K143" s="73"/>
      <c r="L143" s="73"/>
      <c r="M143" s="1"/>
      <c r="P143" s="9"/>
      <c r="Q143" s="19"/>
      <c r="R143" s="19"/>
      <c r="S143" s="2"/>
      <c r="T143" s="1"/>
    </row>
    <row r="144" spans="4:20" x14ac:dyDescent="0.25">
      <c r="E144" s="75">
        <v>0.68219799999999997</v>
      </c>
      <c r="F144" s="75"/>
      <c r="G144" s="75"/>
      <c r="H144" s="75"/>
      <c r="I144" s="75"/>
      <c r="J144" s="75"/>
      <c r="K144" s="75"/>
      <c r="L144" s="75"/>
      <c r="M144" s="101" t="s">
        <v>5</v>
      </c>
      <c r="N144" s="76">
        <f>(P144*Variables!C1/Variables!C3)</f>
        <v>0.68219780219780213</v>
      </c>
      <c r="O144" s="105" t="s">
        <v>5</v>
      </c>
      <c r="P144" s="76">
        <f>(IF(E144&lt;0,0,IF(E144&gt;1.8,4095,ROUND(((E144*4095)/1.8),0))))</f>
        <v>1552</v>
      </c>
      <c r="Q144" s="2" t="s">
        <v>131</v>
      </c>
      <c r="R144" s="13">
        <f>_xlfn.BITAND(P144,255)</f>
        <v>16</v>
      </c>
      <c r="S144" s="27" t="str">
        <f>IF(R144&lt;16,CONCATENATE("0x0",(DEC2HEX(R144))),CONCATENATE("0x",(DEC2HEX(R144))))</f>
        <v>0x10</v>
      </c>
      <c r="T144" s="5" t="str">
        <f>DEC2BIN(R144,8)</f>
        <v>00010000</v>
      </c>
    </row>
    <row r="145" spans="2:20" x14ac:dyDescent="0.25">
      <c r="E145" s="75"/>
      <c r="F145" s="75"/>
      <c r="G145" s="75"/>
      <c r="H145" s="75"/>
      <c r="I145" s="75"/>
      <c r="J145" s="75"/>
      <c r="K145" s="75"/>
      <c r="L145" s="75"/>
      <c r="M145" s="101"/>
      <c r="N145" s="76"/>
      <c r="O145" s="105"/>
      <c r="P145" s="76"/>
      <c r="Q145" s="2"/>
      <c r="R145" s="1"/>
      <c r="S145" s="6"/>
      <c r="T145" s="1"/>
    </row>
    <row r="146" spans="2:20" x14ac:dyDescent="0.25">
      <c r="E146" s="75"/>
      <c r="F146" s="75"/>
      <c r="G146" s="75"/>
      <c r="H146" s="75"/>
      <c r="I146" s="75"/>
      <c r="J146" s="75"/>
      <c r="K146" s="75"/>
      <c r="L146" s="75"/>
      <c r="M146" s="101"/>
      <c r="N146" s="76"/>
      <c r="O146" s="105"/>
      <c r="P146" s="76"/>
      <c r="Q146" s="2" t="s">
        <v>132</v>
      </c>
      <c r="R146" s="13">
        <f>((_xlfn.BITAND(P144,3840))/(2^8))</f>
        <v>6</v>
      </c>
      <c r="S146" s="27" t="str">
        <f>IF(R146&lt;16,CONCATENATE("0x0",(DEC2HEX(R146))),CONCATENATE("0x",(DEC2HEX(R146))))</f>
        <v>0x06</v>
      </c>
      <c r="T146" s="5" t="str">
        <f>DEC2BIN(R146,8)</f>
        <v>00000110</v>
      </c>
    </row>
    <row r="147" spans="2:20" x14ac:dyDescent="0.25">
      <c r="E147" s="57" t="s">
        <v>135</v>
      </c>
      <c r="F147" s="57"/>
      <c r="G147" s="57"/>
      <c r="H147" s="57"/>
      <c r="I147" s="57"/>
      <c r="J147" s="57"/>
      <c r="K147" s="57"/>
      <c r="L147" s="57"/>
      <c r="M147" s="1"/>
      <c r="P147" s="1"/>
      <c r="Q147" s="2"/>
      <c r="R147" s="2"/>
      <c r="S147" s="2"/>
      <c r="T147" s="1"/>
    </row>
    <row r="148" spans="2:20" x14ac:dyDescent="0.25">
      <c r="E148" s="75">
        <v>2.5</v>
      </c>
      <c r="F148" s="75"/>
      <c r="G148" s="75"/>
      <c r="H148" s="75"/>
      <c r="I148" s="75"/>
      <c r="J148" s="75"/>
      <c r="K148" s="75"/>
      <c r="L148" s="75"/>
      <c r="M148" s="101" t="s">
        <v>5</v>
      </c>
      <c r="N148" s="76">
        <f>(P148*Variables!C1/Variables!C3)*Variables!C2</f>
        <v>2.5002197802197834</v>
      </c>
      <c r="O148" s="73" t="s">
        <v>5</v>
      </c>
      <c r="P148" s="76">
        <f>(IF(E148&lt;0,0,IF(E148&gt;4.8,4095,ROUND((E148/Variables!F3),0))))</f>
        <v>2133</v>
      </c>
      <c r="Q148" s="20" t="s">
        <v>133</v>
      </c>
      <c r="R148" s="13">
        <f>_xlfn.BITAND(P148,255)</f>
        <v>85</v>
      </c>
      <c r="S148" s="13" t="str">
        <f>IF(R148&lt;16,CONCATENATE("0x0",(DEC2HEX(R148))),CONCATENATE("0x",(DEC2HEX(R148))))</f>
        <v>0x55</v>
      </c>
      <c r="T148" s="5" t="str">
        <f>DEC2BIN(R148,8)</f>
        <v>01010101</v>
      </c>
    </row>
    <row r="149" spans="2:20" x14ac:dyDescent="0.25">
      <c r="E149" s="75"/>
      <c r="F149" s="75"/>
      <c r="G149" s="75"/>
      <c r="H149" s="75"/>
      <c r="I149" s="75"/>
      <c r="J149" s="75"/>
      <c r="K149" s="75"/>
      <c r="L149" s="75"/>
      <c r="M149" s="101"/>
      <c r="N149" s="76"/>
      <c r="O149" s="73"/>
      <c r="P149" s="76"/>
      <c r="Q149" s="2"/>
      <c r="R149" s="2"/>
      <c r="S149" s="2"/>
      <c r="T149" s="1"/>
    </row>
    <row r="150" spans="2:20" x14ac:dyDescent="0.25">
      <c r="E150" s="75"/>
      <c r="F150" s="75"/>
      <c r="G150" s="75"/>
      <c r="H150" s="75"/>
      <c r="I150" s="75"/>
      <c r="J150" s="75"/>
      <c r="K150" s="75"/>
      <c r="L150" s="75"/>
      <c r="M150" s="101"/>
      <c r="N150" s="76"/>
      <c r="O150" s="73"/>
      <c r="P150" s="76"/>
      <c r="Q150" s="2" t="s">
        <v>134</v>
      </c>
      <c r="R150" s="13">
        <f>((_xlfn.BITAND(P148,3840))/(2^8))</f>
        <v>8</v>
      </c>
      <c r="S150" s="13" t="str">
        <f>IF(R150&lt;16,CONCATENATE("0x0",(DEC2HEX(R150))),CONCATENATE("0x",(DEC2HEX(R150))))</f>
        <v>0x08</v>
      </c>
      <c r="T150" s="5" t="str">
        <f>DEC2BIN(R150,8)</f>
        <v>00001000</v>
      </c>
    </row>
    <row r="151" spans="2:20" x14ac:dyDescent="0.25">
      <c r="E151" s="57" t="s">
        <v>136</v>
      </c>
      <c r="F151" s="57"/>
      <c r="G151" s="57"/>
      <c r="H151" s="57"/>
      <c r="I151" s="57"/>
      <c r="J151" s="57"/>
      <c r="K151" s="57"/>
      <c r="L151" s="57"/>
      <c r="M151" s="11"/>
      <c r="P151" s="11"/>
      <c r="Q151" s="24"/>
      <c r="R151" s="2"/>
      <c r="S151" s="2"/>
      <c r="T151" s="1"/>
    </row>
    <row r="152" spans="2:20" x14ac:dyDescent="0.25">
      <c r="B152" s="39"/>
      <c r="C152" s="39"/>
      <c r="E152" s="72">
        <v>15</v>
      </c>
      <c r="F152" s="72"/>
      <c r="G152" s="72"/>
      <c r="H152" s="72"/>
      <c r="I152" s="72"/>
      <c r="J152" s="72"/>
      <c r="K152" s="72"/>
      <c r="L152" s="72"/>
      <c r="M152" s="16"/>
      <c r="N152" s="22">
        <f>IF(E152&lt;0, "0", IF(E152 &gt; 1024, "1024",ROUND(E152,0)))</f>
        <v>15</v>
      </c>
      <c r="O152" s="22" t="str">
        <f>N155</f>
        <v>s</v>
      </c>
      <c r="P152" s="22">
        <f>N152</f>
        <v>15</v>
      </c>
      <c r="Q152" s="2"/>
      <c r="R152" s="2"/>
      <c r="S152" s="2"/>
      <c r="T152" s="1"/>
    </row>
    <row r="153" spans="2:20" x14ac:dyDescent="0.25">
      <c r="E153" s="86" t="s">
        <v>137</v>
      </c>
      <c r="F153" s="87"/>
      <c r="G153" s="87"/>
      <c r="H153" s="87"/>
      <c r="I153" s="87"/>
      <c r="J153" s="87"/>
      <c r="K153" s="87"/>
      <c r="L153" s="88"/>
      <c r="M153" s="11"/>
      <c r="P153" s="11"/>
      <c r="Q153" s="2" t="s">
        <v>140</v>
      </c>
      <c r="R153" s="13">
        <f>_xlfn.BITAND(P152,255)</f>
        <v>15</v>
      </c>
      <c r="S153" s="13" t="str">
        <f>IF(R153&lt;16,CONCATENATE("0x0",(DEC2HEX(R153))),CONCATENATE("0x",(DEC2HEX(R153))))</f>
        <v>0x0F</v>
      </c>
      <c r="T153" s="5" t="str">
        <f>DEC2BIN(R153,8)</f>
        <v>00001111</v>
      </c>
    </row>
    <row r="154" spans="2:20" x14ac:dyDescent="0.25">
      <c r="E154" s="86" t="s">
        <v>138</v>
      </c>
      <c r="F154" s="87"/>
      <c r="G154" s="87"/>
      <c r="H154" s="88"/>
      <c r="I154" s="86" t="s">
        <v>139</v>
      </c>
      <c r="J154" s="87"/>
      <c r="K154" s="87"/>
      <c r="L154" s="88"/>
      <c r="M154" s="11"/>
      <c r="P154" s="11"/>
      <c r="Q154" s="2"/>
      <c r="R154" s="2"/>
      <c r="S154" s="2"/>
      <c r="T154" s="1"/>
    </row>
    <row r="155" spans="2:20" x14ac:dyDescent="0.25">
      <c r="E155" s="75">
        <v>1</v>
      </c>
      <c r="F155" s="75"/>
      <c r="G155" s="75"/>
      <c r="H155" s="75"/>
      <c r="I155" s="75">
        <v>0</v>
      </c>
      <c r="J155" s="75"/>
      <c r="K155" s="75"/>
      <c r="L155" s="75"/>
      <c r="M155" s="16"/>
      <c r="N155" s="22" t="str">
        <f>IF(((E155*2 +I155) = 3),"min",IF((E155*2+I155 = 2), "s",IF((E155*2+I155=1),"ms","us")))</f>
        <v>s</v>
      </c>
      <c r="O155" s="16"/>
      <c r="P155" s="22">
        <f>IF(N155="min",3,IF(N155="s",2,IF(N155="ms",1,0)))</f>
        <v>2</v>
      </c>
      <c r="Q155" s="16"/>
      <c r="R155" s="16"/>
      <c r="S155" s="16"/>
      <c r="T155" s="1"/>
    </row>
    <row r="156" spans="2:20" x14ac:dyDescent="0.25">
      <c r="E156" s="57" t="s">
        <v>141</v>
      </c>
      <c r="F156" s="57"/>
      <c r="G156" s="57"/>
      <c r="H156" s="57"/>
      <c r="I156" s="57"/>
      <c r="J156" s="57"/>
      <c r="K156" s="57"/>
      <c r="L156" s="57"/>
      <c r="M156" s="10"/>
      <c r="P156" s="10"/>
      <c r="Q156" s="19" t="s">
        <v>142</v>
      </c>
      <c r="R156" s="32">
        <f>(P157*8)+(P155*2)+((_xlfn.BITAND(P152,256))/(2^8))</f>
        <v>252</v>
      </c>
      <c r="S156" s="32" t="str">
        <f>IF(R156&lt;16,CONCATENATE("0x0",(DEC2HEX(R156))),CONCATENATE("0x",(DEC2HEX(R156))))</f>
        <v>0xFC</v>
      </c>
      <c r="T156" s="5" t="str">
        <f>DEC2BIN(R156,8)</f>
        <v>11111100</v>
      </c>
    </row>
    <row r="157" spans="2:20" x14ac:dyDescent="0.25">
      <c r="E157" s="29"/>
      <c r="F157" s="29"/>
      <c r="G157" s="29"/>
      <c r="H157" s="33">
        <v>1</v>
      </c>
      <c r="I157" s="30">
        <v>1</v>
      </c>
      <c r="J157" s="30">
        <v>1</v>
      </c>
      <c r="K157" s="30">
        <v>1</v>
      </c>
      <c r="L157" s="30">
        <v>1</v>
      </c>
      <c r="M157" s="2"/>
      <c r="N157" s="22">
        <f>BIN2DEC(CONCATENATE(H157,I157,J157,K157,L157))</f>
        <v>31</v>
      </c>
      <c r="O157" s="16" t="s">
        <v>143</v>
      </c>
      <c r="P157" s="22">
        <f>N157</f>
        <v>31</v>
      </c>
      <c r="Q157" s="16"/>
      <c r="R157" s="31"/>
      <c r="S157" s="16"/>
      <c r="T157" s="16"/>
    </row>
    <row r="158" spans="2:20" x14ac:dyDescent="0.25">
      <c r="E158" s="86" t="s">
        <v>184</v>
      </c>
      <c r="F158" s="87"/>
      <c r="G158" s="87"/>
      <c r="H158" s="87"/>
      <c r="I158" s="87"/>
      <c r="J158" s="87"/>
      <c r="K158" s="87"/>
      <c r="L158" s="88"/>
      <c r="M158" s="10"/>
      <c r="P158" s="10"/>
      <c r="Q158" s="25"/>
      <c r="R158" s="19"/>
      <c r="S158" s="19"/>
      <c r="T158" s="9"/>
    </row>
    <row r="159" spans="2:20" x14ac:dyDescent="0.25">
      <c r="E159" s="54">
        <v>0</v>
      </c>
      <c r="F159" s="56"/>
      <c r="G159" s="54">
        <v>0</v>
      </c>
      <c r="H159" s="56"/>
      <c r="I159" s="54">
        <v>0</v>
      </c>
      <c r="J159" s="56"/>
      <c r="K159" s="54">
        <v>1</v>
      </c>
      <c r="L159" s="56"/>
      <c r="M159" s="2"/>
      <c r="N159" s="34">
        <f>BIN2DEC(CONCATENATE(E159,G159,I159,K159))</f>
        <v>1</v>
      </c>
      <c r="O159" s="2" t="s">
        <v>145</v>
      </c>
      <c r="P159" s="13">
        <f>N159</f>
        <v>1</v>
      </c>
      <c r="Q159" s="2"/>
      <c r="R159" s="2"/>
      <c r="S159" s="2"/>
      <c r="T159" s="2"/>
    </row>
    <row r="160" spans="2:20" x14ac:dyDescent="0.25">
      <c r="E160" s="86" t="s">
        <v>144</v>
      </c>
      <c r="F160" s="87"/>
      <c r="G160" s="87"/>
      <c r="H160" s="87"/>
      <c r="I160" s="87"/>
      <c r="J160" s="87"/>
      <c r="K160" s="87"/>
      <c r="L160" s="88"/>
      <c r="M160" s="10"/>
      <c r="P160" s="10"/>
      <c r="Q160" s="25" t="s">
        <v>146</v>
      </c>
      <c r="R160" s="32">
        <f>(P161*16)+(P159)</f>
        <v>193</v>
      </c>
      <c r="S160" s="32" t="str">
        <f>IF(R160&lt;16,CONCATENATE("0x0",(DEC2HEX(R160))),CONCATENATE("0x",(DEC2HEX(R160))))</f>
        <v>0xC1</v>
      </c>
      <c r="T160" s="5" t="str">
        <f>DEC2BIN(R160,8)</f>
        <v>11000001</v>
      </c>
    </row>
    <row r="161" spans="2:20" x14ac:dyDescent="0.25">
      <c r="E161" s="54">
        <v>1</v>
      </c>
      <c r="F161" s="56"/>
      <c r="G161" s="54">
        <v>1</v>
      </c>
      <c r="H161" s="56"/>
      <c r="I161" s="54">
        <v>0</v>
      </c>
      <c r="J161" s="56"/>
      <c r="K161" s="54">
        <v>0</v>
      </c>
      <c r="L161" s="56"/>
      <c r="M161" s="2"/>
      <c r="N161" s="34">
        <f>16*(BIN2DEC(CONCATENATE(E161,G161,I161,K161)))</f>
        <v>192</v>
      </c>
      <c r="O161" s="2" t="s">
        <v>145</v>
      </c>
      <c r="P161" s="34">
        <f>BIN2DEC(CONCATENATE(E161,G161,I161,K161))</f>
        <v>12</v>
      </c>
      <c r="Q161" s="2"/>
      <c r="R161" s="2"/>
      <c r="S161" s="2"/>
      <c r="T161" s="2"/>
    </row>
    <row r="162" spans="2:20" x14ac:dyDescent="0.25">
      <c r="E162" s="57" t="s">
        <v>147</v>
      </c>
      <c r="F162" s="57"/>
      <c r="G162" s="57"/>
      <c r="H162" s="57"/>
      <c r="I162" s="57"/>
      <c r="J162" s="57"/>
      <c r="K162" s="57"/>
      <c r="L162" s="57"/>
      <c r="M162" s="1"/>
      <c r="P162" s="10"/>
      <c r="Q162" s="25"/>
      <c r="R162" s="19"/>
      <c r="S162" s="2"/>
      <c r="T162" s="1"/>
    </row>
    <row r="163" spans="2:20" x14ac:dyDescent="0.25">
      <c r="E163" s="72" t="s">
        <v>151</v>
      </c>
      <c r="F163" s="72"/>
      <c r="G163" s="72"/>
      <c r="H163" s="72"/>
      <c r="I163" s="72"/>
      <c r="J163" s="72"/>
      <c r="K163" s="72"/>
      <c r="L163" s="72"/>
      <c r="M163" s="16"/>
      <c r="N163" s="16"/>
      <c r="O163" s="16"/>
      <c r="P163" s="22" t="str">
        <f>IF(E163="3 Cells","131",IF(E163="4 Cells","195",IF(E163="5 Cells","199",IF(E163="6 Cells","231",IF(E163="7 Cells","239",IF(E163="8 Cells","255"))))))</f>
        <v>231</v>
      </c>
      <c r="Q163" s="16" t="s">
        <v>154</v>
      </c>
      <c r="R163" s="22" t="str">
        <f>P163</f>
        <v>231</v>
      </c>
      <c r="S163" s="13" t="str">
        <f>IF(R163&lt;16,CONCATENATE("0x0",(DEC2HEX(R163))),CONCATENATE("0x",(DEC2HEX(R163))))</f>
        <v>0xE7</v>
      </c>
      <c r="T163" s="5" t="str">
        <f>DEC2BIN(R163,8)</f>
        <v>11100111</v>
      </c>
    </row>
    <row r="164" spans="2:20" x14ac:dyDescent="0.25">
      <c r="E164" s="2" t="s">
        <v>155</v>
      </c>
      <c r="F164" s="2" t="s">
        <v>156</v>
      </c>
      <c r="G164" s="2" t="s">
        <v>157</v>
      </c>
      <c r="H164" s="2" t="s">
        <v>158</v>
      </c>
      <c r="I164" s="2" t="s">
        <v>159</v>
      </c>
      <c r="J164" s="2" t="s">
        <v>160</v>
      </c>
      <c r="K164" s="2" t="s">
        <v>161</v>
      </c>
      <c r="L164" s="2" t="s">
        <v>162</v>
      </c>
      <c r="M164" s="1"/>
      <c r="P164" s="1"/>
      <c r="Q164" s="2"/>
      <c r="R164" s="2"/>
      <c r="S164" s="2"/>
      <c r="T164" s="1"/>
    </row>
    <row r="165" spans="2:20" x14ac:dyDescent="0.25">
      <c r="E165" s="13" t="s">
        <v>163</v>
      </c>
      <c r="F165" s="13" t="str">
        <f>IF(E163 = "3 Cells", "Disabled", "Enabled")</f>
        <v>Enabled</v>
      </c>
      <c r="G165" s="13" t="str">
        <f>IF(OR(E163 = "3 Cells",  E163 = "4 Cells", E163="5 Cells"), "Disabled", "Enabled")</f>
        <v>Enabled</v>
      </c>
      <c r="H165" s="13" t="str">
        <f>IF(OR(E163 = "3 Cells",  E163 = "4 Cells", E163="5 Cells", E163 = "6 Cells", E163 = "7 Cells"), "Disabled", "Enabled")</f>
        <v>Disabled</v>
      </c>
      <c r="I165" s="13" t="str">
        <f>IF(OR(E163 = "3 Cells",  E163 = "4 Cells", E163="5 Cells", E163 = "6 Cells"), "Disabled", "Enabled")</f>
        <v>Disabled</v>
      </c>
      <c r="J165" s="13" t="str">
        <f>IF(OR(E163 = "3 Cells",  E163 = "4 Cells"), "Disabled", "Enabled")</f>
        <v>Enabled</v>
      </c>
      <c r="K165" s="13" t="s">
        <v>163</v>
      </c>
      <c r="L165" s="13" t="s">
        <v>163</v>
      </c>
      <c r="M165" s="9"/>
      <c r="P165" s="1"/>
      <c r="Q165" s="2"/>
      <c r="R165" s="2"/>
      <c r="S165" s="2"/>
      <c r="T165" s="1"/>
    </row>
    <row r="166" spans="2:20" x14ac:dyDescent="0.25">
      <c r="E166" s="86" t="s">
        <v>171</v>
      </c>
      <c r="F166" s="87"/>
      <c r="G166" s="87"/>
      <c r="H166" s="87"/>
      <c r="I166" s="87"/>
      <c r="J166" s="87"/>
      <c r="K166" s="87"/>
      <c r="L166" s="88"/>
      <c r="M166" s="9"/>
      <c r="P166" s="1"/>
      <c r="Q166" s="2"/>
      <c r="R166" s="2"/>
      <c r="S166" s="2"/>
      <c r="T166" s="1"/>
    </row>
    <row r="167" spans="2:20" x14ac:dyDescent="0.25">
      <c r="E167" s="65" t="s">
        <v>164</v>
      </c>
      <c r="F167" s="65" t="s">
        <v>55</v>
      </c>
      <c r="G167" s="65" t="s">
        <v>165</v>
      </c>
      <c r="H167" s="65" t="s">
        <v>166</v>
      </c>
      <c r="I167" s="65" t="s">
        <v>55</v>
      </c>
      <c r="J167" s="65" t="s">
        <v>167</v>
      </c>
      <c r="K167" s="65" t="s">
        <v>168</v>
      </c>
      <c r="L167" s="106" t="s">
        <v>169</v>
      </c>
      <c r="M167" s="73"/>
      <c r="N167" s="35"/>
      <c r="O167" s="35"/>
      <c r="P167" s="73"/>
      <c r="Q167" s="73"/>
      <c r="R167" s="73"/>
      <c r="S167" s="73"/>
      <c r="T167" s="73"/>
    </row>
    <row r="168" spans="2:20" x14ac:dyDescent="0.25">
      <c r="E168" s="66"/>
      <c r="F168" s="66"/>
      <c r="G168" s="66"/>
      <c r="H168" s="66"/>
      <c r="I168" s="66"/>
      <c r="J168" s="66"/>
      <c r="K168" s="66"/>
      <c r="L168" s="107"/>
      <c r="M168" s="65"/>
      <c r="N168" s="35"/>
      <c r="O168" s="35"/>
      <c r="P168" s="65"/>
      <c r="Q168" s="65"/>
      <c r="R168" s="65"/>
      <c r="S168" s="65"/>
      <c r="T168" s="65"/>
    </row>
    <row r="169" spans="2:20" x14ac:dyDescent="0.25">
      <c r="B169" s="38"/>
      <c r="C169" s="38"/>
      <c r="E169" s="12">
        <v>0</v>
      </c>
      <c r="F169" s="36"/>
      <c r="G169" s="12">
        <v>1</v>
      </c>
      <c r="H169" s="12">
        <v>0</v>
      </c>
      <c r="I169" s="36"/>
      <c r="J169" s="12">
        <v>0</v>
      </c>
      <c r="K169" s="12">
        <v>0</v>
      </c>
      <c r="L169" s="12">
        <v>0</v>
      </c>
      <c r="M169" s="2"/>
      <c r="N169" s="13" t="str">
        <f>CONCATENATE(E169,"0",G169,H169,"0",J169,K169,L169)</f>
        <v>00100000</v>
      </c>
      <c r="O169" s="2"/>
      <c r="P169" s="13">
        <f>BIN2DEC(N169)</f>
        <v>32</v>
      </c>
      <c r="Q169" s="2" t="s">
        <v>170</v>
      </c>
      <c r="R169" s="13">
        <f>P169</f>
        <v>32</v>
      </c>
      <c r="S169" s="13" t="str">
        <f>IF(R169&lt;16,CONCATENATE("0x0",(DEC2HEX(R169))),CONCATENATE("0x",(DEC2HEX(R169))))</f>
        <v>0x20</v>
      </c>
      <c r="T169" s="5" t="str">
        <f>DEC2BIN(R169,8)</f>
        <v>00100000</v>
      </c>
    </row>
    <row r="170" spans="2:20" x14ac:dyDescent="0.25">
      <c r="E170" s="86" t="s">
        <v>200</v>
      </c>
      <c r="F170" s="87"/>
      <c r="G170" s="87"/>
      <c r="H170" s="87"/>
      <c r="I170" s="87"/>
      <c r="J170" s="87"/>
      <c r="K170" s="87"/>
      <c r="L170" s="88"/>
      <c r="M170" s="2"/>
      <c r="N170" s="3"/>
      <c r="O170" s="3"/>
      <c r="P170" s="13"/>
      <c r="Q170" s="2"/>
      <c r="R170" s="13"/>
      <c r="S170" s="13"/>
      <c r="T170" s="5"/>
    </row>
    <row r="171" spans="2:20" x14ac:dyDescent="0.25">
      <c r="E171" s="65" t="s">
        <v>173</v>
      </c>
      <c r="F171" s="65" t="s">
        <v>174</v>
      </c>
      <c r="G171" s="65" t="s">
        <v>175</v>
      </c>
      <c r="H171" s="65" t="s">
        <v>176</v>
      </c>
      <c r="I171" s="65" t="s">
        <v>177</v>
      </c>
      <c r="J171" s="65" t="s">
        <v>55</v>
      </c>
      <c r="K171" s="65" t="s">
        <v>55</v>
      </c>
      <c r="L171" s="106" t="s">
        <v>178</v>
      </c>
      <c r="M171" s="73"/>
      <c r="N171" s="35"/>
      <c r="O171" s="35"/>
      <c r="P171" s="73"/>
      <c r="Q171" s="73"/>
      <c r="R171" s="73"/>
      <c r="S171" s="73"/>
      <c r="T171" s="73"/>
    </row>
    <row r="172" spans="2:20" x14ac:dyDescent="0.25">
      <c r="E172" s="66"/>
      <c r="F172" s="66"/>
      <c r="G172" s="66"/>
      <c r="H172" s="66"/>
      <c r="I172" s="66"/>
      <c r="J172" s="66"/>
      <c r="K172" s="66"/>
      <c r="L172" s="107"/>
      <c r="M172" s="65"/>
      <c r="N172" s="35"/>
      <c r="O172" s="35"/>
      <c r="P172" s="65"/>
      <c r="Q172" s="65"/>
      <c r="R172" s="65"/>
      <c r="S172" s="65"/>
      <c r="T172" s="65"/>
    </row>
    <row r="173" spans="2:20" x14ac:dyDescent="0.25">
      <c r="B173" s="38"/>
      <c r="C173" s="38"/>
      <c r="E173" s="12">
        <v>1</v>
      </c>
      <c r="F173" s="12">
        <v>1</v>
      </c>
      <c r="G173" s="12">
        <v>1</v>
      </c>
      <c r="H173" s="12">
        <v>1</v>
      </c>
      <c r="I173" s="12">
        <v>0</v>
      </c>
      <c r="J173" s="36">
        <v>0</v>
      </c>
      <c r="K173" s="36">
        <v>0</v>
      </c>
      <c r="L173" s="12">
        <v>1</v>
      </c>
      <c r="M173" s="2"/>
      <c r="N173" s="34" t="str">
        <f>CONCATENATE(E173,F173,G173,H173,I173,"0","0",L173)</f>
        <v>11110001</v>
      </c>
      <c r="O173" s="2"/>
      <c r="P173" s="13">
        <f>BIN2DEC(N173)</f>
        <v>241</v>
      </c>
      <c r="Q173" s="2" t="s">
        <v>172</v>
      </c>
      <c r="R173" s="13">
        <f>P173</f>
        <v>241</v>
      </c>
      <c r="S173" s="13" t="str">
        <f>IF(R173&lt;16,CONCATENATE("0x0",(DEC2HEX(R173))),CONCATENATE("0x",(DEC2HEX(R173))))</f>
        <v>0xF1</v>
      </c>
      <c r="T173" s="5" t="str">
        <f>DEC2BIN(R173,8)</f>
        <v>11110001</v>
      </c>
    </row>
  </sheetData>
  <mergeCells count="272">
    <mergeCell ref="A8:C9"/>
    <mergeCell ref="E8:L8"/>
    <mergeCell ref="E9:L9"/>
    <mergeCell ref="A10:C10"/>
    <mergeCell ref="E10:L11"/>
    <mergeCell ref="M10:M11"/>
    <mergeCell ref="S3:S4"/>
    <mergeCell ref="T3:T4"/>
    <mergeCell ref="E5:L5"/>
    <mergeCell ref="A6:C6"/>
    <mergeCell ref="E6:L6"/>
    <mergeCell ref="E7:L7"/>
    <mergeCell ref="E3:L4"/>
    <mergeCell ref="M3:M4"/>
    <mergeCell ref="N3:O4"/>
    <mergeCell ref="P3:P4"/>
    <mergeCell ref="Q3:Q4"/>
    <mergeCell ref="R3:R4"/>
    <mergeCell ref="E15:L15"/>
    <mergeCell ref="E16:L16"/>
    <mergeCell ref="E17:L19"/>
    <mergeCell ref="M17:M19"/>
    <mergeCell ref="N17:N19"/>
    <mergeCell ref="O17:O19"/>
    <mergeCell ref="N10:N11"/>
    <mergeCell ref="O10:O11"/>
    <mergeCell ref="P10:P11"/>
    <mergeCell ref="E12:L12"/>
    <mergeCell ref="E13:L13"/>
    <mergeCell ref="E14:L14"/>
    <mergeCell ref="E24:L24"/>
    <mergeCell ref="E25:L27"/>
    <mergeCell ref="M25:M27"/>
    <mergeCell ref="N25:N27"/>
    <mergeCell ref="O25:O27"/>
    <mergeCell ref="P25:P27"/>
    <mergeCell ref="P17:P19"/>
    <mergeCell ref="E20:L20"/>
    <mergeCell ref="E21:L23"/>
    <mergeCell ref="M21:M23"/>
    <mergeCell ref="N21:N23"/>
    <mergeCell ref="O21:O23"/>
    <mergeCell ref="P21:P23"/>
    <mergeCell ref="E32:L32"/>
    <mergeCell ref="E33:L35"/>
    <mergeCell ref="M33:M35"/>
    <mergeCell ref="N33:N35"/>
    <mergeCell ref="O33:O35"/>
    <mergeCell ref="P33:P35"/>
    <mergeCell ref="E28:L28"/>
    <mergeCell ref="E29:L31"/>
    <mergeCell ref="M29:M31"/>
    <mergeCell ref="N29:N31"/>
    <mergeCell ref="O29:O31"/>
    <mergeCell ref="P29:P31"/>
    <mergeCell ref="E41:L41"/>
    <mergeCell ref="E42:L42"/>
    <mergeCell ref="E43:L43"/>
    <mergeCell ref="E44:H44"/>
    <mergeCell ref="I44:L44"/>
    <mergeCell ref="E45:H45"/>
    <mergeCell ref="I45:L45"/>
    <mergeCell ref="E36:L36"/>
    <mergeCell ref="E37:L37"/>
    <mergeCell ref="E38:L38"/>
    <mergeCell ref="E39:H39"/>
    <mergeCell ref="I39:L39"/>
    <mergeCell ref="E40:H40"/>
    <mergeCell ref="I40:L40"/>
    <mergeCell ref="E52:L52"/>
    <mergeCell ref="E53:G53"/>
    <mergeCell ref="H53:J53"/>
    <mergeCell ref="K53:L53"/>
    <mergeCell ref="E54:G54"/>
    <mergeCell ref="E55:L55"/>
    <mergeCell ref="E46:L46"/>
    <mergeCell ref="E47:L47"/>
    <mergeCell ref="E48:L48"/>
    <mergeCell ref="E49:L49"/>
    <mergeCell ref="E50:L50"/>
    <mergeCell ref="E51:L51"/>
    <mergeCell ref="E60:L60"/>
    <mergeCell ref="E61:L61"/>
    <mergeCell ref="E62:L62"/>
    <mergeCell ref="E63:G63"/>
    <mergeCell ref="H63:J63"/>
    <mergeCell ref="K63:L63"/>
    <mergeCell ref="E56:L56"/>
    <mergeCell ref="E57:L57"/>
    <mergeCell ref="E58:G58"/>
    <mergeCell ref="H58:J58"/>
    <mergeCell ref="K58:L58"/>
    <mergeCell ref="E59:G59"/>
    <mergeCell ref="P66:P68"/>
    <mergeCell ref="E69:L69"/>
    <mergeCell ref="E70:L72"/>
    <mergeCell ref="M70:M72"/>
    <mergeCell ref="N70:N72"/>
    <mergeCell ref="O70:O72"/>
    <mergeCell ref="P70:P72"/>
    <mergeCell ref="E64:G64"/>
    <mergeCell ref="E65:L65"/>
    <mergeCell ref="E66:L68"/>
    <mergeCell ref="M66:M68"/>
    <mergeCell ref="N66:N68"/>
    <mergeCell ref="O66:O68"/>
    <mergeCell ref="M78:M80"/>
    <mergeCell ref="N78:N80"/>
    <mergeCell ref="O78:O80"/>
    <mergeCell ref="P78:P80"/>
    <mergeCell ref="E73:L73"/>
    <mergeCell ref="E74:L76"/>
    <mergeCell ref="M74:M76"/>
    <mergeCell ref="N74:N76"/>
    <mergeCell ref="O74:O76"/>
    <mergeCell ref="P74:P76"/>
    <mergeCell ref="E81:L81"/>
    <mergeCell ref="E82:L82"/>
    <mergeCell ref="E83:L83"/>
    <mergeCell ref="E84:H84"/>
    <mergeCell ref="I84:L84"/>
    <mergeCell ref="E85:H85"/>
    <mergeCell ref="I85:L85"/>
    <mergeCell ref="E77:L77"/>
    <mergeCell ref="E78:L80"/>
    <mergeCell ref="E91:L91"/>
    <mergeCell ref="E92:L94"/>
    <mergeCell ref="M92:M94"/>
    <mergeCell ref="N92:N94"/>
    <mergeCell ref="O92:O94"/>
    <mergeCell ref="P92:P94"/>
    <mergeCell ref="E86:L86"/>
    <mergeCell ref="E87:L87"/>
    <mergeCell ref="E88:L88"/>
    <mergeCell ref="E89:H89"/>
    <mergeCell ref="I89:L89"/>
    <mergeCell ref="E90:H90"/>
    <mergeCell ref="I90:L90"/>
    <mergeCell ref="E99:L99"/>
    <mergeCell ref="E100:L102"/>
    <mergeCell ref="M100:M102"/>
    <mergeCell ref="N100:N102"/>
    <mergeCell ref="O100:O102"/>
    <mergeCell ref="P100:P102"/>
    <mergeCell ref="E95:L95"/>
    <mergeCell ref="E96:L98"/>
    <mergeCell ref="M96:M98"/>
    <mergeCell ref="N96:N98"/>
    <mergeCell ref="O96:O98"/>
    <mergeCell ref="P96:P98"/>
    <mergeCell ref="E107:L107"/>
    <mergeCell ref="E108:L110"/>
    <mergeCell ref="M108:M110"/>
    <mergeCell ref="N108:N110"/>
    <mergeCell ref="O108:O110"/>
    <mergeCell ref="P108:P110"/>
    <mergeCell ref="E103:L103"/>
    <mergeCell ref="E104:L106"/>
    <mergeCell ref="M104:M106"/>
    <mergeCell ref="N104:N106"/>
    <mergeCell ref="O104:O106"/>
    <mergeCell ref="P104:P106"/>
    <mergeCell ref="E115:L115"/>
    <mergeCell ref="E116:L118"/>
    <mergeCell ref="M116:M118"/>
    <mergeCell ref="N116:N118"/>
    <mergeCell ref="O116:O118"/>
    <mergeCell ref="P116:P118"/>
    <mergeCell ref="E111:L111"/>
    <mergeCell ref="E112:L114"/>
    <mergeCell ref="M112:M114"/>
    <mergeCell ref="N112:N114"/>
    <mergeCell ref="O112:O114"/>
    <mergeCell ref="P112:P114"/>
    <mergeCell ref="E123:L123"/>
    <mergeCell ref="E124:L126"/>
    <mergeCell ref="M124:M126"/>
    <mergeCell ref="N124:N126"/>
    <mergeCell ref="O124:O126"/>
    <mergeCell ref="P124:P126"/>
    <mergeCell ref="E119:L119"/>
    <mergeCell ref="E120:L122"/>
    <mergeCell ref="M120:M122"/>
    <mergeCell ref="N120:N122"/>
    <mergeCell ref="O120:O122"/>
    <mergeCell ref="P120:P122"/>
    <mergeCell ref="E131:L131"/>
    <mergeCell ref="E132:L134"/>
    <mergeCell ref="M132:M134"/>
    <mergeCell ref="N132:N134"/>
    <mergeCell ref="O132:O134"/>
    <mergeCell ref="P132:P134"/>
    <mergeCell ref="E127:L127"/>
    <mergeCell ref="E128:L130"/>
    <mergeCell ref="M128:M130"/>
    <mergeCell ref="N128:N130"/>
    <mergeCell ref="O128:O130"/>
    <mergeCell ref="P128:P130"/>
    <mergeCell ref="E139:L139"/>
    <mergeCell ref="E140:L142"/>
    <mergeCell ref="M140:M142"/>
    <mergeCell ref="N140:N142"/>
    <mergeCell ref="O140:O142"/>
    <mergeCell ref="P140:P142"/>
    <mergeCell ref="E135:L135"/>
    <mergeCell ref="E136:L138"/>
    <mergeCell ref="M136:M138"/>
    <mergeCell ref="N136:N138"/>
    <mergeCell ref="O136:O138"/>
    <mergeCell ref="P136:P138"/>
    <mergeCell ref="M148:M150"/>
    <mergeCell ref="N148:N150"/>
    <mergeCell ref="O148:O150"/>
    <mergeCell ref="P148:P150"/>
    <mergeCell ref="E143:L143"/>
    <mergeCell ref="E144:L146"/>
    <mergeCell ref="M144:M146"/>
    <mergeCell ref="N144:N146"/>
    <mergeCell ref="O144:O146"/>
    <mergeCell ref="P144:P146"/>
    <mergeCell ref="E151:L151"/>
    <mergeCell ref="E152:L152"/>
    <mergeCell ref="E153:L153"/>
    <mergeCell ref="E154:H154"/>
    <mergeCell ref="I154:L154"/>
    <mergeCell ref="E155:H155"/>
    <mergeCell ref="I155:L155"/>
    <mergeCell ref="E147:L147"/>
    <mergeCell ref="E148:L150"/>
    <mergeCell ref="E160:L160"/>
    <mergeCell ref="E161:F161"/>
    <mergeCell ref="G161:H161"/>
    <mergeCell ref="I161:J161"/>
    <mergeCell ref="K161:L161"/>
    <mergeCell ref="E162:L162"/>
    <mergeCell ref="E156:L156"/>
    <mergeCell ref="E158:L158"/>
    <mergeCell ref="E159:F159"/>
    <mergeCell ref="G159:H159"/>
    <mergeCell ref="I159:J159"/>
    <mergeCell ref="K159:L159"/>
    <mergeCell ref="M167:M168"/>
    <mergeCell ref="P167:P168"/>
    <mergeCell ref="Q167:Q168"/>
    <mergeCell ref="R167:R168"/>
    <mergeCell ref="S167:S168"/>
    <mergeCell ref="T167:T168"/>
    <mergeCell ref="E163:L163"/>
    <mergeCell ref="E166:L166"/>
    <mergeCell ref="E167:E168"/>
    <mergeCell ref="F167:F168"/>
    <mergeCell ref="G167:G168"/>
    <mergeCell ref="H167:H168"/>
    <mergeCell ref="I167:I168"/>
    <mergeCell ref="J167:J168"/>
    <mergeCell ref="K167:K168"/>
    <mergeCell ref="L167:L168"/>
    <mergeCell ref="M171:M172"/>
    <mergeCell ref="P171:P172"/>
    <mergeCell ref="Q171:Q172"/>
    <mergeCell ref="R171:R172"/>
    <mergeCell ref="S171:S172"/>
    <mergeCell ref="T171:T172"/>
    <mergeCell ref="E170:L170"/>
    <mergeCell ref="E171:E172"/>
    <mergeCell ref="F171:F172"/>
    <mergeCell ref="G171:G172"/>
    <mergeCell ref="H171:H172"/>
    <mergeCell ref="I171:I172"/>
    <mergeCell ref="J171:J172"/>
    <mergeCell ref="K171:K172"/>
    <mergeCell ref="L171:L172"/>
  </mergeCells>
  <pageMargins left="0.7" right="0.7" top="0.75" bottom="0.75" header="0.3" footer="0.3"/>
  <pageSetup orientation="portrait" r:id="rId1"/>
  <drawing r:id="rId2"/>
  <legacyDrawing r:id="rId3"/>
  <controls>
    <mc:AlternateContent xmlns:mc="http://schemas.openxmlformats.org/markup-compatibility/2006">
      <mc:Choice Requires="x14">
        <control shapeId="5121" r:id="rId4" name="btnGenerateFile">
          <controlPr defaultSize="0" autoLine="0" r:id="rId5">
            <anchor moveWithCells="1">
              <from>
                <xdr:col>9</xdr:col>
                <xdr:colOff>600075</xdr:colOff>
                <xdr:row>176</xdr:row>
                <xdr:rowOff>104775</xdr:rowOff>
              </from>
              <to>
                <xdr:col>13</xdr:col>
                <xdr:colOff>333375</xdr:colOff>
                <xdr:row>180</xdr:row>
                <xdr:rowOff>95250</xdr:rowOff>
              </to>
            </anchor>
          </controlPr>
        </control>
      </mc:Choice>
      <mc:Fallback>
        <control shapeId="5121" r:id="rId4" name="btnGenerateFi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3DC7AD6D-250D-413D-BE44-DA5103EA7006}">
          <x14:formula1>
            <xm:f>Variables!$F$7:$F$12</xm:f>
          </x14:formula1>
          <xm:sqref>E163:L163</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B1:M16"/>
  <sheetViews>
    <sheetView workbookViewId="0">
      <selection activeCell="F21" sqref="F21"/>
    </sheetView>
  </sheetViews>
  <sheetFormatPr defaultRowHeight="15" x14ac:dyDescent="0.25"/>
  <cols>
    <col min="2" max="2" width="13.42578125" customWidth="1"/>
  </cols>
  <sheetData>
    <row r="1" spans="2:13" x14ac:dyDescent="0.25">
      <c r="B1" t="s">
        <v>1</v>
      </c>
      <c r="C1" s="37">
        <v>1.8</v>
      </c>
      <c r="E1" t="s">
        <v>6</v>
      </c>
      <c r="F1" s="37">
        <v>0</v>
      </c>
    </row>
    <row r="2" spans="2:13" x14ac:dyDescent="0.25">
      <c r="B2" t="s">
        <v>2</v>
      </c>
      <c r="C2" s="37">
        <v>2.6666666666666701</v>
      </c>
      <c r="E2" t="s">
        <v>7</v>
      </c>
      <c r="F2" s="37">
        <v>4.8</v>
      </c>
    </row>
    <row r="3" spans="2:13" x14ac:dyDescent="0.25">
      <c r="B3" t="s">
        <v>3</v>
      </c>
      <c r="C3" s="37">
        <v>4095</v>
      </c>
      <c r="E3" t="s">
        <v>8</v>
      </c>
      <c r="F3" s="37">
        <v>1.1721611700000001E-3</v>
      </c>
    </row>
    <row r="6" spans="2:13" x14ac:dyDescent="0.25">
      <c r="M6">
        <f>((IF(E6&lt;0,0,IF(E6&gt;4.8,4095,ROUND((E6/Variables!F3),0))))*Variables!C1/Variables!C3)</f>
        <v>0</v>
      </c>
    </row>
    <row r="7" spans="2:13" x14ac:dyDescent="0.25">
      <c r="F7" s="37" t="s">
        <v>148</v>
      </c>
    </row>
    <row r="8" spans="2:13" x14ac:dyDescent="0.25">
      <c r="F8" s="37" t="s">
        <v>149</v>
      </c>
    </row>
    <row r="9" spans="2:13" x14ac:dyDescent="0.25">
      <c r="F9" s="37" t="s">
        <v>150</v>
      </c>
    </row>
    <row r="10" spans="2:13" x14ac:dyDescent="0.25">
      <c r="F10" s="37" t="s">
        <v>151</v>
      </c>
    </row>
    <row r="11" spans="2:13" x14ac:dyDescent="0.25">
      <c r="F11" s="37" t="s">
        <v>152</v>
      </c>
    </row>
    <row r="12" spans="2:13" x14ac:dyDescent="0.25">
      <c r="F12" s="37" t="s">
        <v>153</v>
      </c>
    </row>
    <row r="16" spans="2:13" x14ac:dyDescent="0.25">
      <c r="B16" s="108" t="s">
        <v>185</v>
      </c>
      <c r="C16" s="108"/>
      <c r="D16" s="108"/>
      <c r="E16" s="108"/>
      <c r="F16" s="108"/>
    </row>
  </sheetData>
  <mergeCells count="1">
    <mergeCell ref="B16:F16"/>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C36:G36"/>
  <sheetViews>
    <sheetView workbookViewId="0">
      <selection activeCell="N22" sqref="N22"/>
    </sheetView>
  </sheetViews>
  <sheetFormatPr defaultRowHeight="15" x14ac:dyDescent="0.25"/>
  <sheetData>
    <row r="36" spans="3:7" x14ac:dyDescent="0.25">
      <c r="C36" s="109" t="s">
        <v>193</v>
      </c>
      <c r="D36" s="109"/>
      <c r="E36" s="109"/>
      <c r="F36" s="109"/>
      <c r="G36" s="109"/>
    </row>
  </sheetData>
  <mergeCells count="1">
    <mergeCell ref="C36:G36"/>
  </mergeCells>
  <pageMargins left="0.7" right="0.7" top="0.75" bottom="0.75" header="0.3" footer="0.3"/>
  <pageSetup orientation="portrait" r:id="rId1"/>
  <drawing r:id="rId2"/>
  <legacyDrawing r:id="rId3"/>
  <oleObjects>
    <mc:AlternateContent xmlns:mc="http://schemas.openxmlformats.org/markup-compatibility/2006">
      <mc:Choice Requires="x14">
        <oleObject progId="PDF" shapeId="4099" r:id="rId4">
          <objectPr defaultSize="0" r:id="rId5">
            <anchor moveWithCells="1">
              <from>
                <xdr:col>1</xdr:col>
                <xdr:colOff>0</xdr:colOff>
                <xdr:row>1</xdr:row>
                <xdr:rowOff>0</xdr:rowOff>
              </from>
              <to>
                <xdr:col>8</xdr:col>
                <xdr:colOff>409575</xdr:colOff>
                <xdr:row>33</xdr:row>
                <xdr:rowOff>180975</xdr:rowOff>
              </to>
            </anchor>
          </objectPr>
        </oleObject>
      </mc:Choice>
      <mc:Fallback>
        <oleObject progId="PDF" shapeId="4099" r:id="rId4"/>
      </mc:Fallback>
    </mc:AlternateContent>
  </oleObjec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Arkusze</vt:lpstr>
      </vt:variant>
      <vt:variant>
        <vt:i4>10</vt:i4>
      </vt:variant>
    </vt:vector>
  </HeadingPairs>
  <TitlesOfParts>
    <vt:vector size="10" baseType="lpstr">
      <vt:lpstr>BMS ISL MAREK</vt:lpstr>
      <vt:lpstr>BMS-tylko ze bez BMS</vt:lpstr>
      <vt:lpstr>Introduction</vt:lpstr>
      <vt:lpstr>Reg Table</vt:lpstr>
      <vt:lpstr>Reg Table - co tam u jacka</vt:lpstr>
      <vt:lpstr>Reg Table - Łowicz</vt:lpstr>
      <vt:lpstr>Reg Table - Nasze testy</vt:lpstr>
      <vt:lpstr>Reg Table - Zwarcie</vt:lpstr>
      <vt:lpstr>Variables</vt:lpstr>
      <vt:lpstr>License Agreement</vt:lpstr>
    </vt:vector>
  </TitlesOfParts>
  <Company>Renesas Electronics America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Adam Althar</dc:creator>
  <cp:lastModifiedBy>Marek</cp:lastModifiedBy>
  <dcterms:created xsi:type="dcterms:W3CDTF">2018-11-28T20:21:04Z</dcterms:created>
  <dcterms:modified xsi:type="dcterms:W3CDTF">2024-03-25T13:24:35Z</dcterms:modified>
</cp:coreProperties>
</file>