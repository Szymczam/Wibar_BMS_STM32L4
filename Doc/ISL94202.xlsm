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E4DF1D53-5E21-4892-B2BB-CA84ACA556CF}" xr6:coauthVersionLast="47" xr6:coauthVersionMax="47" xr10:uidLastSave="{00000000-0000-0000-0000-000000000000}"/>
  <bookViews>
    <workbookView xWindow="14295" yWindow="0" windowWidth="14610" windowHeight="17385" activeTab="1" xr2:uid="{00000000-000D-0000-FFFF-FFFF00000000}"/>
  </bookViews>
  <sheets>
    <sheet name="Introduction" sheetId="3" r:id="rId1"/>
    <sheet name="BMS ISL MAREK" sheetId="11" r:id="rId2"/>
    <sheet name="test" sheetId="1" r:id="rId3"/>
    <sheet name="Variables" sheetId="2" r:id="rId4"/>
    <sheet name="License Agreement" sheetId="4"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6" i="11" l="1"/>
  <c r="Y13" i="11"/>
  <c r="D70" i="11"/>
  <c r="M173" i="11"/>
  <c r="O173" i="11" s="1"/>
  <c r="Q173" i="11" s="1"/>
  <c r="M169" i="11"/>
  <c r="O169" i="11" s="1"/>
  <c r="Q169" i="11" s="1"/>
  <c r="I165" i="11"/>
  <c r="H165" i="11"/>
  <c r="G165" i="11"/>
  <c r="F165" i="11"/>
  <c r="E165" i="11"/>
  <c r="O163" i="11"/>
  <c r="Q163" i="11" s="1"/>
  <c r="S163" i="11" s="1"/>
  <c r="O161" i="11"/>
  <c r="M161" i="11"/>
  <c r="M159" i="11"/>
  <c r="O159" i="11" s="1"/>
  <c r="M157" i="11"/>
  <c r="O157" i="11" s="1"/>
  <c r="M155" i="11"/>
  <c r="O155" i="11" s="1"/>
  <c r="M152" i="11"/>
  <c r="O152" i="11" s="1"/>
  <c r="Q153" i="11" s="1"/>
  <c r="C149" i="11"/>
  <c r="O148" i="11"/>
  <c r="Q150" i="11" s="1"/>
  <c r="O144" i="11"/>
  <c r="Q146" i="11" s="1"/>
  <c r="O140" i="11"/>
  <c r="Q140" i="11" s="1"/>
  <c r="M140" i="11"/>
  <c r="D136" i="11"/>
  <c r="O136" i="11" s="1"/>
  <c r="O132" i="11"/>
  <c r="M132" i="11" s="1"/>
  <c r="D132" i="11"/>
  <c r="O128" i="11"/>
  <c r="Q130" i="11" s="1"/>
  <c r="D128" i="11"/>
  <c r="D124" i="11"/>
  <c r="O124" i="11" s="1"/>
  <c r="D120" i="11"/>
  <c r="O120" i="11" s="1"/>
  <c r="D116" i="11"/>
  <c r="O116" i="11" s="1"/>
  <c r="D112" i="11"/>
  <c r="O112" i="11" s="1"/>
  <c r="D108" i="11"/>
  <c r="O108" i="11" s="1"/>
  <c r="Q110" i="11" s="1"/>
  <c r="D104" i="11"/>
  <c r="O104" i="11" s="1"/>
  <c r="D100" i="11"/>
  <c r="O100" i="11" s="1"/>
  <c r="D96" i="11"/>
  <c r="O96" i="11" s="1"/>
  <c r="D92" i="11"/>
  <c r="O92" i="11" s="1"/>
  <c r="M90" i="11"/>
  <c r="O90" i="11" s="1"/>
  <c r="M87" i="11"/>
  <c r="O87" i="11" s="1"/>
  <c r="Q88" i="11" s="1"/>
  <c r="M85" i="11"/>
  <c r="O85" i="11" s="1"/>
  <c r="O82" i="11"/>
  <c r="Q83" i="11" s="1"/>
  <c r="O78" i="11"/>
  <c r="Q78" i="11" s="1"/>
  <c r="O74" i="11"/>
  <c r="M74" i="11" s="1"/>
  <c r="O70" i="11"/>
  <c r="Q72" i="11" s="1"/>
  <c r="O66" i="11"/>
  <c r="Q68" i="11" s="1"/>
  <c r="O64" i="11"/>
  <c r="M64" i="11"/>
  <c r="M63" i="11"/>
  <c r="N61" i="11" s="1"/>
  <c r="M61" i="11"/>
  <c r="O61" i="11" s="1"/>
  <c r="Q61" i="11" s="1"/>
  <c r="O59" i="11"/>
  <c r="M59" i="11"/>
  <c r="M58" i="11"/>
  <c r="N56" i="11" s="1"/>
  <c r="M56" i="11"/>
  <c r="O56" i="11" s="1"/>
  <c r="Q56" i="11" s="1"/>
  <c r="O54" i="11"/>
  <c r="M54" i="11"/>
  <c r="M53" i="11"/>
  <c r="N51" i="11"/>
  <c r="M51" i="11"/>
  <c r="O51" i="11" s="1"/>
  <c r="Q51" i="11" s="1"/>
  <c r="M49" i="11"/>
  <c r="O49" i="11" s="1"/>
  <c r="N47" i="11"/>
  <c r="M47" i="11"/>
  <c r="O47" i="11" s="1"/>
  <c r="M45" i="11"/>
  <c r="O45" i="11" s="1"/>
  <c r="M42" i="11"/>
  <c r="O42" i="11" s="1"/>
  <c r="Q41" i="11" s="1"/>
  <c r="M40" i="11"/>
  <c r="N37" i="11" s="1"/>
  <c r="M37" i="11"/>
  <c r="O37" i="11" s="1"/>
  <c r="Q37" i="11" s="1"/>
  <c r="B34" i="11"/>
  <c r="D33" i="11"/>
  <c r="O33" i="11" s="1"/>
  <c r="B33" i="11"/>
  <c r="B32" i="11"/>
  <c r="B30" i="11"/>
  <c r="D29" i="11"/>
  <c r="C30" i="11" s="1"/>
  <c r="B26" i="11"/>
  <c r="D25" i="11"/>
  <c r="C26" i="11" s="1"/>
  <c r="B23" i="11"/>
  <c r="B22" i="11"/>
  <c r="D21" i="11"/>
  <c r="C22" i="11" s="1"/>
  <c r="Y19" i="11"/>
  <c r="Y18" i="11"/>
  <c r="B18" i="11"/>
  <c r="X17" i="11"/>
  <c r="Y17" i="11" s="1"/>
  <c r="D17" i="11"/>
  <c r="O17" i="11" s="1"/>
  <c r="Y16" i="11"/>
  <c r="B16" i="11"/>
  <c r="Y15" i="11"/>
  <c r="M15" i="11"/>
  <c r="O15" i="11" s="1"/>
  <c r="B15" i="11"/>
  <c r="Y14" i="11"/>
  <c r="B14" i="11"/>
  <c r="D13" i="11"/>
  <c r="O13" i="11" s="1"/>
  <c r="Q13" i="11" s="1"/>
  <c r="C13" i="11"/>
  <c r="B13" i="11"/>
  <c r="Y12" i="11"/>
  <c r="Y11" i="11"/>
  <c r="C11" i="11"/>
  <c r="B11" i="11"/>
  <c r="D10" i="11"/>
  <c r="O10" i="11" s="1"/>
  <c r="B9" i="11"/>
  <c r="M8" i="11"/>
  <c r="O8" i="11" s="1"/>
  <c r="B8" i="11"/>
  <c r="B7" i="11"/>
  <c r="D6" i="11"/>
  <c r="O6" i="11" s="1"/>
  <c r="B6" i="11"/>
  <c r="Q90" i="11" l="1"/>
  <c r="C18" i="11"/>
  <c r="Q70" i="11"/>
  <c r="S70" i="11" s="1"/>
  <c r="Q7" i="11"/>
  <c r="Q80" i="11"/>
  <c r="S80" i="11" s="1"/>
  <c r="Q15" i="11"/>
  <c r="Q85" i="11"/>
  <c r="S85" i="11" s="1"/>
  <c r="S146" i="11"/>
  <c r="R146" i="11"/>
  <c r="T146" i="11" s="1"/>
  <c r="R37" i="11"/>
  <c r="T37" i="11" s="1"/>
  <c r="S37" i="11"/>
  <c r="M10" i="11"/>
  <c r="Q11" i="11"/>
  <c r="S11" i="11" s="1"/>
  <c r="R83" i="11"/>
  <c r="T83" i="11" s="1"/>
  <c r="S83" i="11"/>
  <c r="Q19" i="11"/>
  <c r="Q17" i="11"/>
  <c r="M17" i="11"/>
  <c r="Q98" i="11"/>
  <c r="Q96" i="11"/>
  <c r="M96" i="11"/>
  <c r="R140" i="11"/>
  <c r="T140" i="11" s="1"/>
  <c r="S140" i="11"/>
  <c r="Q156" i="11"/>
  <c r="R156" i="11" s="1"/>
  <c r="T156" i="11" s="1"/>
  <c r="Q142" i="11"/>
  <c r="Q63" i="11"/>
  <c r="R63" i="11" s="1"/>
  <c r="T63" i="11" s="1"/>
  <c r="N82" i="11"/>
  <c r="M66" i="11"/>
  <c r="M144" i="11"/>
  <c r="Q160" i="11"/>
  <c r="Q58" i="11"/>
  <c r="Q66" i="11"/>
  <c r="Q144" i="11"/>
  <c r="S144" i="11" s="1"/>
  <c r="Q43" i="11"/>
  <c r="S43" i="11" s="1"/>
  <c r="M70" i="11"/>
  <c r="Q132" i="11"/>
  <c r="S132" i="11" s="1"/>
  <c r="Q74" i="11"/>
  <c r="S74" i="11" s="1"/>
  <c r="S13" i="11"/>
  <c r="R13" i="11"/>
  <c r="T13" i="11" s="1"/>
  <c r="S19" i="11"/>
  <c r="R19" i="11"/>
  <c r="T19" i="11" s="1"/>
  <c r="Q53" i="11"/>
  <c r="Q124" i="11"/>
  <c r="M124" i="11"/>
  <c r="Q126" i="11"/>
  <c r="S160" i="11"/>
  <c r="R160" i="11"/>
  <c r="T160" i="11" s="1"/>
  <c r="S41" i="11"/>
  <c r="R41" i="11"/>
  <c r="T41" i="11" s="1"/>
  <c r="S130" i="11"/>
  <c r="R130" i="11"/>
  <c r="T130" i="11" s="1"/>
  <c r="R7" i="11"/>
  <c r="T7" i="11" s="1"/>
  <c r="S7" i="11"/>
  <c r="Q46" i="11"/>
  <c r="Q48" i="11"/>
  <c r="S72" i="11"/>
  <c r="R72" i="11"/>
  <c r="T72" i="11" s="1"/>
  <c r="Q100" i="11"/>
  <c r="M100" i="11"/>
  <c r="Q102" i="11"/>
  <c r="S68" i="11"/>
  <c r="R68" i="11"/>
  <c r="T68" i="11" s="1"/>
  <c r="R15" i="11"/>
  <c r="T15" i="11" s="1"/>
  <c r="S15" i="11"/>
  <c r="Q33" i="11"/>
  <c r="M33" i="11"/>
  <c r="Q35" i="11"/>
  <c r="R88" i="11"/>
  <c r="T88" i="11" s="1"/>
  <c r="S88" i="11"/>
  <c r="Q104" i="11"/>
  <c r="M104" i="11"/>
  <c r="Q106" i="11"/>
  <c r="M136" i="11"/>
  <c r="Q138" i="11"/>
  <c r="Q136" i="11"/>
  <c r="S150" i="11"/>
  <c r="R150" i="11"/>
  <c r="T150" i="11" s="1"/>
  <c r="S58" i="11"/>
  <c r="R58" i="11"/>
  <c r="T58" i="11" s="1"/>
  <c r="S61" i="11"/>
  <c r="R61" i="11"/>
  <c r="T61" i="11" s="1"/>
  <c r="S90" i="11"/>
  <c r="R90" i="11"/>
  <c r="T90" i="11" s="1"/>
  <c r="S110" i="11"/>
  <c r="R110" i="11"/>
  <c r="T110" i="11" s="1"/>
  <c r="S153" i="11"/>
  <c r="R153" i="11"/>
  <c r="T153" i="11" s="1"/>
  <c r="R51" i="11"/>
  <c r="T51" i="11" s="1"/>
  <c r="S51" i="11"/>
  <c r="S78" i="11"/>
  <c r="R78" i="11"/>
  <c r="T78" i="11" s="1"/>
  <c r="Q92" i="11"/>
  <c r="Q94" i="11"/>
  <c r="M92" i="11"/>
  <c r="Q114" i="11"/>
  <c r="Q112" i="11"/>
  <c r="M112" i="11"/>
  <c r="M6" i="11"/>
  <c r="Q5" i="11"/>
  <c r="M116" i="11"/>
  <c r="Q118" i="11"/>
  <c r="Q116" i="11"/>
  <c r="S169" i="11"/>
  <c r="R169" i="11"/>
  <c r="T169" i="11" s="1"/>
  <c r="R56" i="11"/>
  <c r="T56" i="11" s="1"/>
  <c r="S56" i="11"/>
  <c r="Q122" i="11"/>
  <c r="Q120" i="11"/>
  <c r="M120" i="11"/>
  <c r="S173" i="11"/>
  <c r="R173" i="11"/>
  <c r="T173" i="11" s="1"/>
  <c r="M13" i="11"/>
  <c r="M128" i="11"/>
  <c r="O21" i="11"/>
  <c r="C34" i="11"/>
  <c r="Q128" i="11"/>
  <c r="R132" i="11"/>
  <c r="T132" i="11" s="1"/>
  <c r="R11" i="11"/>
  <c r="T11" i="11" s="1"/>
  <c r="O25" i="11"/>
  <c r="R70" i="11"/>
  <c r="T70" i="11" s="1"/>
  <c r="M148" i="11"/>
  <c r="N152" i="11"/>
  <c r="R163" i="11"/>
  <c r="T163" i="11" s="1"/>
  <c r="C6" i="11"/>
  <c r="O29" i="11"/>
  <c r="Q76" i="11"/>
  <c r="M108" i="11"/>
  <c r="Q134" i="11"/>
  <c r="Q9" i="11"/>
  <c r="Q148" i="11"/>
  <c r="O40" i="11"/>
  <c r="Q39" i="11" s="1"/>
  <c r="Q108" i="11"/>
  <c r="M78" i="11"/>
  <c r="R144" i="11"/>
  <c r="T144" i="11" s="1"/>
  <c r="R85" i="11" l="1"/>
  <c r="T85" i="11" s="1"/>
  <c r="S156" i="11"/>
  <c r="R80" i="11"/>
  <c r="T80" i="11" s="1"/>
  <c r="S63" i="11"/>
  <c r="S98" i="11"/>
  <c r="R98" i="11"/>
  <c r="T98" i="11" s="1"/>
  <c r="R43" i="11"/>
  <c r="T43" i="11" s="1"/>
  <c r="R17" i="11"/>
  <c r="T17" i="11" s="1"/>
  <c r="S17" i="11"/>
  <c r="S142" i="11"/>
  <c r="R142" i="11"/>
  <c r="T142" i="11" s="1"/>
  <c r="S66" i="11"/>
  <c r="R66" i="11"/>
  <c r="T66" i="11" s="1"/>
  <c r="R96" i="11"/>
  <c r="T96" i="11" s="1"/>
  <c r="S96" i="11"/>
  <c r="R74" i="11"/>
  <c r="T74" i="11" s="1"/>
  <c r="S92" i="11"/>
  <c r="R92" i="11"/>
  <c r="T92" i="11" s="1"/>
  <c r="S104" i="11"/>
  <c r="R104" i="11"/>
  <c r="T104" i="11" s="1"/>
  <c r="S100" i="11"/>
  <c r="R100" i="11"/>
  <c r="T100" i="11" s="1"/>
  <c r="S118" i="11"/>
  <c r="R118" i="11"/>
  <c r="T118" i="11" s="1"/>
  <c r="Q27" i="11"/>
  <c r="M25" i="11"/>
  <c r="Q25" i="11"/>
  <c r="S120" i="11"/>
  <c r="R120" i="11"/>
  <c r="T120" i="11" s="1"/>
  <c r="S126" i="11"/>
  <c r="R126" i="11"/>
  <c r="T126" i="11" s="1"/>
  <c r="S148" i="11"/>
  <c r="R148" i="11"/>
  <c r="T148" i="11" s="1"/>
  <c r="S9" i="11"/>
  <c r="R9" i="11"/>
  <c r="T9" i="11" s="1"/>
  <c r="S122" i="11"/>
  <c r="R122" i="11"/>
  <c r="T122" i="11" s="1"/>
  <c r="R5" i="11"/>
  <c r="T5" i="11" s="1"/>
  <c r="S5" i="11"/>
  <c r="S33" i="11"/>
  <c r="R33" i="11"/>
  <c r="T33" i="11" s="1"/>
  <c r="S48" i="11"/>
  <c r="R48" i="11"/>
  <c r="T48" i="11" s="1"/>
  <c r="S124" i="11"/>
  <c r="R124" i="11"/>
  <c r="T124" i="11" s="1"/>
  <c r="S108" i="11"/>
  <c r="R108" i="11"/>
  <c r="T108" i="11" s="1"/>
  <c r="S134" i="11"/>
  <c r="R134" i="11"/>
  <c r="T134" i="11" s="1"/>
  <c r="S46" i="11"/>
  <c r="R46" i="11"/>
  <c r="T46" i="11" s="1"/>
  <c r="S53" i="11"/>
  <c r="R53" i="11"/>
  <c r="T53" i="11" s="1"/>
  <c r="S128" i="11"/>
  <c r="R128" i="11"/>
  <c r="T128" i="11" s="1"/>
  <c r="R136" i="11"/>
  <c r="T136" i="11" s="1"/>
  <c r="S136" i="11"/>
  <c r="S94" i="11"/>
  <c r="R94" i="11"/>
  <c r="T94" i="11" s="1"/>
  <c r="S76" i="11"/>
  <c r="R76" i="11"/>
  <c r="T76" i="11" s="1"/>
  <c r="S112" i="11"/>
  <c r="R112" i="11"/>
  <c r="T112" i="11" s="1"/>
  <c r="S138" i="11"/>
  <c r="R138" i="11"/>
  <c r="T138" i="11" s="1"/>
  <c r="S116" i="11"/>
  <c r="R116" i="11"/>
  <c r="T116" i="11" s="1"/>
  <c r="Q29" i="11"/>
  <c r="M29" i="11"/>
  <c r="Q31" i="11"/>
  <c r="R114" i="11"/>
  <c r="T114" i="11" s="1"/>
  <c r="S114" i="11"/>
  <c r="R39" i="11"/>
  <c r="T39" i="11" s="1"/>
  <c r="S39" i="11"/>
  <c r="S35" i="11"/>
  <c r="R35" i="11"/>
  <c r="T35" i="11" s="1"/>
  <c r="Q23" i="11"/>
  <c r="Q21" i="11"/>
  <c r="M21" i="11"/>
  <c r="R106" i="11"/>
  <c r="T106" i="11" s="1"/>
  <c r="S106" i="11"/>
  <c r="S102" i="11"/>
  <c r="R102" i="11"/>
  <c r="T102" i="11" s="1"/>
  <c r="S25" i="11" l="1"/>
  <c r="R25" i="11"/>
  <c r="T25" i="11" s="1"/>
  <c r="R23" i="11"/>
  <c r="T23" i="11" s="1"/>
  <c r="S23" i="11"/>
  <c r="S27" i="11"/>
  <c r="R27" i="11"/>
  <c r="T27" i="11" s="1"/>
  <c r="S29" i="11"/>
  <c r="R29" i="11"/>
  <c r="T29" i="11" s="1"/>
  <c r="R31" i="11"/>
  <c r="T31" i="11" s="1"/>
  <c r="S31" i="11"/>
  <c r="S21" i="11"/>
  <c r="R21" i="11"/>
  <c r="T21" i="11" s="1"/>
  <c r="N61" i="1" l="1"/>
  <c r="E132" i="1"/>
  <c r="E136" i="1"/>
  <c r="E128" i="1"/>
  <c r="E124" i="1"/>
  <c r="E120" i="1"/>
  <c r="E116" i="1"/>
  <c r="E112" i="1"/>
  <c r="E108" i="1"/>
  <c r="E104" i="1"/>
  <c r="E100" i="1"/>
  <c r="E96" i="1"/>
  <c r="E92" i="1"/>
  <c r="N159" i="1"/>
  <c r="N152" i="1" l="1"/>
  <c r="N87" i="1"/>
  <c r="N82" i="1"/>
  <c r="N56" i="1"/>
  <c r="N51" i="1"/>
  <c r="N47" i="1"/>
  <c r="N40" i="1"/>
  <c r="N37" i="1"/>
  <c r="N42" i="1"/>
  <c r="N173" i="1" l="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<sst xmlns="http://schemas.openxmlformats.org/spreadsheetml/2006/main" count="575" uniqueCount="223">
  <si>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</si>
  <si>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</si>
  <si>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</si>
  <si>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</si>
  <si>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</si>
  <si>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</si>
  <si>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</si>
  <si>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</si>
  <si>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</si>
  <si>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</si>
  <si>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</si>
  <si>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</si>
  <si>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</si>
  <si>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</si>
  <si>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</si>
  <si>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</si>
  <si>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</si>
  <si>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</si>
  <si>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</si>
  <si>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</si>
  <si>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</si>
  <si>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</si>
  <si>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</si>
  <si>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</si>
  <si>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</si>
  <si>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</si>
  <si>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</si>
  <si>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</si>
  <si>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</si>
  <si>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</si>
  <si>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</si>
  <si>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</si>
  <si>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</si>
  <si>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</si>
  <si>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</si>
  <si>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</si>
  <si>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</si>
  <si>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</si>
  <si>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</si>
  <si>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</si>
  <si>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</si>
  <si>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</si>
  <si>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</si>
  <si>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</si>
  <si>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</si>
  <si>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</si>
  <si>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</si>
  <si>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</si>
  <si>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</si>
  <si>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</si>
  <si>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</si>
  <si>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</si>
  <si>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</si>
  <si>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</si>
  <si>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</si>
  <si>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</si>
  <si>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</si>
  <si>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</si>
  <si>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</si>
  <si>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</si>
  <si>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</si>
  <si>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</si>
  <si>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</si>
  <si>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</si>
  <si>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</si>
  <si>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</si>
  <si>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</si>
  <si>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</si>
  <si>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</si>
  <si>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</si>
  <si>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</si>
  <si>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</si>
  <si>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</si>
  <si>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</si>
  <si>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</si>
  <si>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</si>
  <si>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</si>
  <si>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</si>
  <si>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</si>
  <si>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</si>
  <si>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</si>
  <si>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</si>
  <si>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</si>
  <si>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</si>
  <si>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</si>
  <si>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</si>
  <si>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</si>
  <si>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</si>
  <si>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</si>
  <si>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</si>
  <si>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</si>
  <si>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</si>
  <si>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</si>
  <si>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</si>
  <si>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</si>
  <si>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</si>
  <si>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</si>
  <si>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</si>
  <si>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</si>
  <si>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</si>
  <si>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</si>
  <si>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</si>
  <si>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</si>
  <si>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</si>
  <si>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</si>
  <si>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</si>
  <si>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</si>
  <si>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</si>
  <si>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</si>
  <si>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</si>
  <si>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</si>
  <si>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</si>
  <si>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</si>
  <si>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</si>
  <si>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</si>
  <si>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</si>
  <si>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</si>
  <si>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</si>
  <si>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</si>
  <si>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</si>
  <si>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</si>
  <si>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</si>
  <si>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</si>
  <si>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</si>
  <si>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</si>
  <si>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</si>
  <si>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</si>
  <si>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</si>
  <si>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</si>
  <si>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</si>
  <si>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</si>
  <si>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</si>
  <si>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</si>
  <si>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</si>
  <si>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</si>
  <si>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</si>
  <si>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</si>
  <si>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</si>
  <si>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</si>
  <si>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</si>
  <si>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</si>
  <si>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</si>
  <si>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</si>
  <si>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</si>
  <si>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</si>
  <si>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</si>
  <si>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</si>
  <si>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</si>
  <si>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</si>
  <si>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</si>
  <si>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</si>
  <si>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</si>
  <si>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</si>
  <si>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</si>
  <si>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</si>
  <si>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</si>
  <si>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</si>
  <si>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</si>
  <si>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</si>
  <si>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</si>
  <si>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</si>
  <si>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</si>
  <si>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</si>
  <si>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</si>
  <si>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</si>
  <si>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</si>
  <si>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</si>
  <si>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</si>
  <si>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</si>
  <si>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</si>
  <si>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</si>
  <si>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</si>
  <si>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</si>
  <si>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</si>
  <si>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</si>
  <si>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</si>
  <si>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</si>
  <si>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</si>
  <si>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</si>
  <si>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</si>
  <si>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</si>
  <si>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</si>
  <si>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</si>
  <si>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</si>
  <si>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</si>
  <si>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</si>
  <si>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</si>
  <si>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</si>
  <si>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</si>
  <si>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</si>
  <si>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</si>
  <si>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</si>
  <si>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</si>
  <si>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</si>
  <si>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</si>
  <si>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</si>
  <si>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</si>
  <si>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</si>
  <si>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</si>
  <si>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</si>
  <si>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</si>
  <si>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</si>
  <si>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</si>
  <si>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</si>
  <si>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</si>
  <si>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</si>
  <si>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</si>
  <si>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</si>
  <si>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</si>
  <si>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</si>
  <si>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def</t>
  </si>
  <si>
    <t>actu</t>
  </si>
  <si>
    <t>cell</t>
  </si>
  <si>
    <t>pack</t>
  </si>
  <si>
    <t>OV lockout</t>
  </si>
  <si>
    <t>OV</t>
  </si>
  <si>
    <t>EOC</t>
  </si>
  <si>
    <t>OV Recover</t>
  </si>
  <si>
    <t>UV Recover</t>
  </si>
  <si>
    <t>UV</t>
  </si>
  <si>
    <t>Sleep Voltage</t>
  </si>
  <si>
    <t>Lov V Charge</t>
  </si>
  <si>
    <t>UV Lockout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</si>
</sst>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09">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0" borderId="20" xfId="0"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0" fillId="3" borderId="1" xfId="0" applyFill="1" applyBorder="1" applyAlignment="1">
      <alignment horizontal="center"/>
    </xf>
    <xf numFmtId="0" fontId="0" fillId="0" borderId="1" xfId="0" applyBorder="1" applyAlignment="1">
      <alignment horizontal="center" vertical="center"/>
    </xf>
    <xf numFmtId="0" fontId="0" fillId="5" borderId="1" xfId="0" applyFill="1" applyBorder="1" applyAlignment="1">
      <alignment horizont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0" borderId="15" xfId="0" applyBorder="1" applyAlignment="1">
      <alignment horizontal="center" vertical="center"/>
    </xf>
    <xf numFmtId="0" fontId="0" fillId="2" borderId="15"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5" borderId="1"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5" borderId="2" xfId="0" applyFill="1"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85725</xdr:rowOff>
        </xdr:to>
        <xdr:sp macro="" textlink="">
          <xdr:nvSpPr>
            <xdr:cNvPr id="2" name="btnGenerateFile" hidden="1">
              <a:extLst>
                <a:ext uri="{63B3BB69-23CF-44E3-9099-C40C66FF867C}">
                  <a14:compatExt spid="_x0000_s27651"/>
                </a:ext>
                <a:ext uri="{FF2B5EF4-FFF2-40B4-BE49-F238E27FC236}">
                  <a16:creationId xmlns:a16="http://schemas.microsoft.com/office/drawing/2014/main" id="{14C749EC-5BF1-49DC-BA53-C6F88B66498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85725</xdr:rowOff>
        </xdr:to>
        <xdr:sp macro="" textlink="">
          <xdr:nvSpPr>
            <xdr:cNvPr id="3" name="btnGenerateFile" hidden="1">
              <a:extLst>
                <a:ext uri="{63B3BB69-23CF-44E3-9099-C40C66FF867C}">
                  <a14:compatExt spid="_x0000_s27652"/>
                </a:ext>
                <a:ext uri="{FF2B5EF4-FFF2-40B4-BE49-F238E27FC236}">
                  <a16:creationId xmlns:a16="http://schemas.microsoft.com/office/drawing/2014/main" id="{77E2632E-D9EB-441E-8819-7A83ADB1F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GitKraken\KARTS_BMS_LiIon\Konfiguracja%20ISL94202.xlsm" TargetMode="External"/><Relationship Id="rId1" Type="http://schemas.openxmlformats.org/officeDocument/2006/relationships/externalLinkPath" Target="/GitKraken/KARTS_BMS_LiIon/Konfiguracja%20ISL9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Reg Table"/>
      <sheetName val="Reg Table - Łowicz"/>
      <sheetName val="Reg Table - Nasze testy"/>
      <sheetName val="Reg Table - Zwarcie"/>
      <sheetName val="Variables"/>
      <sheetName val="License Agreement"/>
    </sheetNames>
    <sheetDataSet>
      <sheetData sheetId="0" refreshError="1"/>
      <sheetData sheetId="1" refreshError="1"/>
      <sheetData sheetId="2" refreshError="1"/>
      <sheetData sheetId="3" refreshError="1"/>
      <sheetData sheetId="4" refreshError="1"/>
      <sheetData sheetId="5">
        <row r="1">
          <cell r="C1">
            <v>1.8</v>
          </cell>
        </row>
        <row r="2">
          <cell r="C2">
            <v>2.6666666666666701</v>
          </cell>
        </row>
        <row r="3">
          <cell r="C3">
            <v>4095</v>
          </cell>
          <cell r="F3">
            <v>1.1721611700000001E-3</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2:Y173"/>
  <sheetViews>
    <sheetView tabSelected="1" topLeftCell="B1" zoomScaleNormal="100" workbookViewId="0">
      <pane ySplit="4" topLeftCell="A16" activePane="bottomLeft" state="frozen"/>
      <selection pane="bottomLeft" activeCell="C4" sqref="C4"/>
    </sheetView>
  </sheetViews>
  <sheetFormatPr defaultRowHeight="15" x14ac:dyDescent="0.25"/>
  <cols>
    <col min="2" max="2" width="10.5703125" customWidth="1"/>
    <col min="15" max="15" width="9.42578125" customWidth="1"/>
  </cols>
  <sheetData>
    <row r="2" spans="1:25" ht="15.75" thickBot="1" x14ac:dyDescent="0.3"/>
    <row r="3" spans="1:25" ht="15.75" thickBot="1" x14ac:dyDescent="0.3">
      <c r="D3" s="72" t="s">
        <v>9</v>
      </c>
      <c r="E3" s="72"/>
      <c r="F3" s="72"/>
      <c r="G3" s="72"/>
      <c r="H3" s="72"/>
      <c r="I3" s="72"/>
      <c r="J3" s="72"/>
      <c r="K3" s="72"/>
      <c r="L3" s="64" t="s">
        <v>10</v>
      </c>
      <c r="M3" s="72" t="s">
        <v>30</v>
      </c>
      <c r="N3" s="72"/>
      <c r="O3" s="66" t="s">
        <v>11</v>
      </c>
      <c r="P3" s="66" t="s">
        <v>14</v>
      </c>
      <c r="Q3" s="66" t="s">
        <v>11</v>
      </c>
      <c r="R3" s="66" t="s">
        <v>12</v>
      </c>
      <c r="S3" s="67" t="s">
        <v>88</v>
      </c>
      <c r="U3" s="68" t="s">
        <v>199</v>
      </c>
      <c r="V3" s="69"/>
      <c r="W3" s="70"/>
    </row>
    <row r="4" spans="1:25" ht="15.75" thickBot="1" x14ac:dyDescent="0.3">
      <c r="D4" s="72"/>
      <c r="E4" s="72"/>
      <c r="F4" s="72"/>
      <c r="G4" s="72"/>
      <c r="H4" s="72"/>
      <c r="I4" s="72"/>
      <c r="J4" s="72"/>
      <c r="K4" s="72"/>
      <c r="L4" s="65"/>
      <c r="M4" s="72"/>
      <c r="N4" s="72"/>
      <c r="O4" s="66"/>
      <c r="P4" s="66"/>
      <c r="Q4" s="66"/>
      <c r="R4" s="66"/>
      <c r="S4" s="67"/>
    </row>
    <row r="5" spans="1:25" x14ac:dyDescent="0.25">
      <c r="A5" t="s">
        <v>210</v>
      </c>
      <c r="C5" t="s">
        <v>211</v>
      </c>
      <c r="D5" s="56" t="s">
        <v>16</v>
      </c>
      <c r="E5" s="56"/>
      <c r="F5" s="56"/>
      <c r="G5" s="56"/>
      <c r="H5" s="56"/>
      <c r="I5" s="56"/>
      <c r="J5" s="56"/>
      <c r="K5" s="56"/>
      <c r="M5" s="4"/>
      <c r="N5" s="7"/>
      <c r="O5" s="9"/>
      <c r="P5" s="2" t="s">
        <v>15</v>
      </c>
      <c r="Q5" s="13">
        <f>_xlfn.BITAND(O6,255)</f>
        <v>255</v>
      </c>
      <c r="R5" s="13" t="str">
        <f>IF(Q5&lt;16,CONCATENATE("0x0",(DEC2HEX(Q5))),CONCATENATE("0x",(DEC2HEX(Q5))))</f>
        <v>0xFF</v>
      </c>
      <c r="S5" s="5" t="str">
        <f>DEC2BIN(Q5,8)</f>
        <v>11111111</v>
      </c>
      <c r="T5" t="str">
        <f>_xlfn.CONCAT(R5, ", ")</f>
        <v xml:space="preserve">0xFF, </v>
      </c>
      <c r="U5" s="47" t="s">
        <v>198</v>
      </c>
      <c r="V5" s="48"/>
      <c r="W5" s="49"/>
    </row>
    <row r="6" spans="1:25" ht="15.75" thickBot="1" x14ac:dyDescent="0.3">
      <c r="A6">
        <v>4.3499999999999996</v>
      </c>
      <c r="B6">
        <f>A6*7</f>
        <v>30.449999999999996</v>
      </c>
      <c r="C6">
        <f>D6*7</f>
        <v>29.400000000000002</v>
      </c>
      <c r="D6" s="71">
        <f>X12</f>
        <v>4.2</v>
      </c>
      <c r="E6" s="71"/>
      <c r="F6" s="71"/>
      <c r="G6" s="71"/>
      <c r="H6" s="71"/>
      <c r="I6" s="71"/>
      <c r="J6" s="71"/>
      <c r="K6" s="71"/>
      <c r="L6" s="18" t="s">
        <v>5</v>
      </c>
      <c r="M6" s="5">
        <f>(O6*[1]Variables!C1/[1]Variables!C3)*[1]Variables!C2</f>
        <v>4.199853479853485</v>
      </c>
      <c r="N6" s="2" t="s">
        <v>5</v>
      </c>
      <c r="O6" s="5">
        <f>(IF(D6&lt;0,0,IF(D6&gt;4.8,4095,ROUND((D6/[1]Variables!F3),0))))</f>
        <v>3583</v>
      </c>
      <c r="P6" s="25"/>
      <c r="Q6" s="25"/>
      <c r="R6" s="2"/>
      <c r="S6" s="1"/>
      <c r="U6" s="50"/>
      <c r="V6" s="51"/>
      <c r="W6" s="52"/>
    </row>
    <row r="7" spans="1:25" x14ac:dyDescent="0.25">
      <c r="B7">
        <f t="shared" ref="B7:B34" si="0">A7*7</f>
        <v>0</v>
      </c>
      <c r="D7" s="56" t="s">
        <v>0</v>
      </c>
      <c r="E7" s="56"/>
      <c r="F7" s="56"/>
      <c r="G7" s="56"/>
      <c r="H7" s="56"/>
      <c r="I7" s="56"/>
      <c r="J7" s="56"/>
      <c r="K7" s="56"/>
      <c r="M7" s="4"/>
      <c r="N7" s="8"/>
      <c r="O7" s="10"/>
      <c r="P7" s="2" t="s">
        <v>13</v>
      </c>
      <c r="Q7" s="13">
        <f>(O8*2^4)+((_xlfn.BITAND(O6,3840))/(2^8))</f>
        <v>253</v>
      </c>
      <c r="R7" s="13" t="str">
        <f>IF(Q7&lt;16,CONCATENATE("0x0",(DEC2HEX(Q7))),CONCATENATE("0x",(DEC2HEX(Q7))))</f>
        <v>0xFD</v>
      </c>
      <c r="S7" s="5" t="str">
        <f>DEC2BIN(Q7,8)</f>
        <v>11111101</v>
      </c>
      <c r="T7" t="str">
        <f t="shared" ref="T7:T68" si="1">_xlfn.CONCAT(R7, ", ")</f>
        <v xml:space="preserve">0xFD, </v>
      </c>
      <c r="U7" s="57" t="s">
        <v>197</v>
      </c>
      <c r="V7" s="57"/>
      <c r="W7" s="57"/>
    </row>
    <row r="8" spans="1:25" x14ac:dyDescent="0.25">
      <c r="B8">
        <f t="shared" si="0"/>
        <v>0</v>
      </c>
      <c r="D8" s="53">
        <v>15</v>
      </c>
      <c r="E8" s="54"/>
      <c r="F8" s="54"/>
      <c r="G8" s="54"/>
      <c r="H8" s="54"/>
      <c r="I8" s="54"/>
      <c r="J8" s="54"/>
      <c r="K8" s="55"/>
      <c r="L8" s="18" t="s">
        <v>4</v>
      </c>
      <c r="M8" s="5">
        <f>(IF(D8&lt;0,0,IF(D8&gt;15,15,ROUND(D8,0))))</f>
        <v>15</v>
      </c>
      <c r="N8" s="16" t="s">
        <v>4</v>
      </c>
      <c r="O8" s="5">
        <f>M8</f>
        <v>15</v>
      </c>
      <c r="P8" s="25"/>
      <c r="Q8" s="25"/>
      <c r="R8" s="2"/>
      <c r="S8" s="1"/>
    </row>
    <row r="9" spans="1:25" x14ac:dyDescent="0.25">
      <c r="B9">
        <f t="shared" si="0"/>
        <v>0</v>
      </c>
      <c r="D9" s="56" t="s">
        <v>17</v>
      </c>
      <c r="E9" s="56"/>
      <c r="F9" s="56"/>
      <c r="G9" s="56"/>
      <c r="H9" s="56"/>
      <c r="I9" s="56"/>
      <c r="J9" s="56"/>
      <c r="K9" s="56"/>
      <c r="L9" s="1"/>
      <c r="O9" s="1"/>
      <c r="P9" s="2" t="s">
        <v>18</v>
      </c>
      <c r="Q9" s="13">
        <f>_xlfn.BITAND(O10,255)</f>
        <v>127</v>
      </c>
      <c r="R9" s="13" t="str">
        <f>IF(Q9&lt;16,CONCATENATE("0x0",(DEC2HEX(Q9))),CONCATENATE("0x",(DEC2HEX(Q9))))</f>
        <v>0x7F</v>
      </c>
      <c r="S9" s="5" t="str">
        <f>DEC2BIN(Q9,8)</f>
        <v>01111111</v>
      </c>
      <c r="T9" t="str">
        <f t="shared" si="1"/>
        <v xml:space="preserve">0x7F, </v>
      </c>
    </row>
    <row r="10" spans="1:25" x14ac:dyDescent="0.25">
      <c r="D10" s="58">
        <f>X14</f>
        <v>4.05</v>
      </c>
      <c r="E10" s="59"/>
      <c r="F10" s="59"/>
      <c r="G10" s="59"/>
      <c r="H10" s="59"/>
      <c r="I10" s="59"/>
      <c r="J10" s="59"/>
      <c r="K10" s="60"/>
      <c r="L10" s="64" t="s">
        <v>5</v>
      </c>
      <c r="M10" s="75">
        <f>(O10*[1]Variables!C1/[1]Variables!C3)*[1]Variables!C2</f>
        <v>4.049816849816855</v>
      </c>
      <c r="N10" s="76" t="s">
        <v>5</v>
      </c>
      <c r="O10" s="78">
        <f>(IF(D10&lt;0,0,IF(D10&gt;4.8,4095,ROUND((D10/[1]Variables!F3),0))))</f>
        <v>3455</v>
      </c>
      <c r="P10" s="2"/>
      <c r="Q10" s="3"/>
      <c r="R10" s="2"/>
      <c r="S10" s="1"/>
      <c r="X10" t="s">
        <v>212</v>
      </c>
      <c r="Y10" t="s">
        <v>213</v>
      </c>
    </row>
    <row r="11" spans="1:25" x14ac:dyDescent="0.25">
      <c r="A11">
        <v>4.149</v>
      </c>
      <c r="B11">
        <f t="shared" si="0"/>
        <v>29.042999999999999</v>
      </c>
      <c r="C11">
        <f>D10*7</f>
        <v>28.349999999999998</v>
      </c>
      <c r="D11" s="61"/>
      <c r="E11" s="62"/>
      <c r="F11" s="62"/>
      <c r="G11" s="62"/>
      <c r="H11" s="62"/>
      <c r="I11" s="62"/>
      <c r="J11" s="62"/>
      <c r="K11" s="63"/>
      <c r="L11" s="65"/>
      <c r="M11" s="75"/>
      <c r="N11" s="77"/>
      <c r="O11" s="79"/>
      <c r="P11" s="2" t="s">
        <v>19</v>
      </c>
      <c r="Q11" s="13">
        <f>((_xlfn.BITAND(O10,3840))/(2^8))</f>
        <v>13</v>
      </c>
      <c r="R11" s="13" t="str">
        <f>IF(Q11&lt;16,CONCATENATE("0x0",(DEC2HEX(Q11))),CONCATENATE("0x",(DEC2HEX(Q11))))</f>
        <v>0x0D</v>
      </c>
      <c r="S11" s="5" t="str">
        <f>DEC2BIN(Q11,8)</f>
        <v>00001101</v>
      </c>
      <c r="T11" t="str">
        <f t="shared" si="1"/>
        <v xml:space="preserve">0x0D, </v>
      </c>
      <c r="V11" t="s">
        <v>214</v>
      </c>
      <c r="X11">
        <v>4.25</v>
      </c>
      <c r="Y11">
        <f>X11*7</f>
        <v>29.75</v>
      </c>
    </row>
    <row r="12" spans="1:25" x14ac:dyDescent="0.25">
      <c r="D12" s="56" t="s">
        <v>20</v>
      </c>
      <c r="E12" s="56"/>
      <c r="F12" s="56"/>
      <c r="G12" s="56"/>
      <c r="H12" s="56"/>
      <c r="I12" s="56"/>
      <c r="J12" s="56"/>
      <c r="K12" s="56"/>
      <c r="L12" s="4"/>
      <c r="M12" s="14"/>
      <c r="N12" s="6"/>
      <c r="O12" s="14"/>
      <c r="P12" s="2"/>
      <c r="Q12" s="3"/>
      <c r="R12" s="2"/>
      <c r="S12" s="1"/>
      <c r="V12" t="s">
        <v>215</v>
      </c>
      <c r="X12">
        <v>4.2</v>
      </c>
      <c r="Y12">
        <f t="shared" ref="Y12:Y19" si="2">X12*7</f>
        <v>29.400000000000002</v>
      </c>
    </row>
    <row r="13" spans="1:25" x14ac:dyDescent="0.25">
      <c r="A13">
        <v>2.7</v>
      </c>
      <c r="B13">
        <f t="shared" si="0"/>
        <v>18.900000000000002</v>
      </c>
      <c r="C13">
        <f>D13*7</f>
        <v>20.3</v>
      </c>
      <c r="D13" s="71">
        <f>X16</f>
        <v>2.9</v>
      </c>
      <c r="E13" s="71"/>
      <c r="F13" s="71"/>
      <c r="G13" s="71"/>
      <c r="H13" s="71"/>
      <c r="I13" s="71"/>
      <c r="J13" s="71"/>
      <c r="K13" s="71"/>
      <c r="L13" s="17" t="s">
        <v>5</v>
      </c>
      <c r="M13" s="5">
        <f>(O13*[1]Variables!C1/[1]Variables!C3)*[1]Variables!C2</f>
        <v>2.8999267399267437</v>
      </c>
      <c r="N13" s="2" t="s">
        <v>5</v>
      </c>
      <c r="O13" s="5">
        <f>(IF(D13&lt;0,0,IF(D13&gt;4.8,4095,ROUND((D13/[1]Variables!F3),0))))</f>
        <v>2474</v>
      </c>
      <c r="P13" s="2" t="s">
        <v>21</v>
      </c>
      <c r="Q13" s="13">
        <f>_xlfn.BITAND(O13,255)</f>
        <v>170</v>
      </c>
      <c r="R13" s="13" t="str">
        <f>IF(Q13&lt;16,CONCATENATE("0x0",(DEC2HEX(Q13))),CONCATENATE("0x",(DEC2HEX(Q13))))</f>
        <v>0xAA</v>
      </c>
      <c r="S13" s="5" t="str">
        <f>DEC2BIN(Q13,8)</f>
        <v>10101010</v>
      </c>
      <c r="T13" t="str">
        <f t="shared" si="1"/>
        <v xml:space="preserve">0xAA, </v>
      </c>
      <c r="V13" t="s">
        <v>216</v>
      </c>
      <c r="X13">
        <v>4.1500000000000004</v>
      </c>
      <c r="Y13">
        <f t="shared" si="2"/>
        <v>29.050000000000004</v>
      </c>
    </row>
    <row r="14" spans="1:25" x14ac:dyDescent="0.25">
      <c r="B14">
        <f t="shared" si="0"/>
        <v>0</v>
      </c>
      <c r="D14" s="73" t="s">
        <v>23</v>
      </c>
      <c r="E14" s="73"/>
      <c r="F14" s="73"/>
      <c r="G14" s="73"/>
      <c r="H14" s="73"/>
      <c r="I14" s="73"/>
      <c r="J14" s="73"/>
      <c r="K14" s="73"/>
      <c r="L14" s="1"/>
      <c r="M14" s="15"/>
      <c r="O14" s="14"/>
      <c r="P14" s="2"/>
      <c r="Q14" s="2"/>
      <c r="R14" s="2"/>
      <c r="S14" s="1"/>
      <c r="V14" t="s">
        <v>217</v>
      </c>
      <c r="X14">
        <v>4.05</v>
      </c>
      <c r="Y14">
        <f t="shared" si="2"/>
        <v>28.349999999999998</v>
      </c>
    </row>
    <row r="15" spans="1:25" x14ac:dyDescent="0.25">
      <c r="B15">
        <f t="shared" si="0"/>
        <v>0</v>
      </c>
      <c r="D15" s="71">
        <v>15</v>
      </c>
      <c r="E15" s="71"/>
      <c r="F15" s="71"/>
      <c r="G15" s="71"/>
      <c r="H15" s="71"/>
      <c r="I15" s="71"/>
      <c r="J15" s="71"/>
      <c r="K15" s="71"/>
      <c r="L15" s="2" t="s">
        <v>4</v>
      </c>
      <c r="M15" s="5">
        <f>(IF(D15&lt;0,0,IF(D15&gt;15,15,ROUND(D15,0))))</f>
        <v>15</v>
      </c>
      <c r="N15" s="2" t="s">
        <v>4</v>
      </c>
      <c r="O15" s="5">
        <f>M15</f>
        <v>15</v>
      </c>
      <c r="P15" s="2" t="s">
        <v>22</v>
      </c>
      <c r="Q15" s="13">
        <f>(O15*2^4)+((_xlfn.BITAND(O13,3840))/(2^8))</f>
        <v>249</v>
      </c>
      <c r="R15" s="13" t="str">
        <f>IF(Q15&lt;16,CONCATENATE("0x0",(DEC2HEX(Q15))),CONCATENATE("0x",(DEC2HEX(Q15))))</f>
        <v>0xF9</v>
      </c>
      <c r="S15" s="5" t="str">
        <f>DEC2BIN(Q15,8)</f>
        <v>11111001</v>
      </c>
      <c r="T15" t="str">
        <f t="shared" si="1"/>
        <v xml:space="preserve">0xF9, </v>
      </c>
      <c r="V15" t="s">
        <v>218</v>
      </c>
      <c r="X15">
        <v>3.2</v>
      </c>
      <c r="Y15">
        <f t="shared" si="2"/>
        <v>22.400000000000002</v>
      </c>
    </row>
    <row r="16" spans="1:25" x14ac:dyDescent="0.25">
      <c r="B16">
        <f t="shared" si="0"/>
        <v>0</v>
      </c>
      <c r="D16" s="73" t="s">
        <v>24</v>
      </c>
      <c r="E16" s="73"/>
      <c r="F16" s="73"/>
      <c r="G16" s="73"/>
      <c r="H16" s="73"/>
      <c r="I16" s="73"/>
      <c r="J16" s="73"/>
      <c r="K16" s="73"/>
      <c r="L16" s="2"/>
      <c r="O16" s="14"/>
      <c r="P16" s="3"/>
      <c r="Q16" s="2"/>
      <c r="R16" s="2"/>
      <c r="S16" s="1"/>
      <c r="V16" t="s">
        <v>219</v>
      </c>
      <c r="X16">
        <v>2.9</v>
      </c>
      <c r="Y16">
        <f t="shared" si="2"/>
        <v>20.3</v>
      </c>
    </row>
    <row r="17" spans="1:25" x14ac:dyDescent="0.25">
      <c r="D17" s="74">
        <f>X15</f>
        <v>3.2</v>
      </c>
      <c r="E17" s="74"/>
      <c r="F17" s="74"/>
      <c r="G17" s="74"/>
      <c r="H17" s="74"/>
      <c r="I17" s="74"/>
      <c r="J17" s="74"/>
      <c r="K17" s="74"/>
      <c r="L17" s="72" t="s">
        <v>5</v>
      </c>
      <c r="M17" s="75">
        <f>(O17*[1]Variables!C1/[1]Variables!C3)*[1]Variables!C2</f>
        <v>3.2000000000000042</v>
      </c>
      <c r="N17" s="72" t="s">
        <v>5</v>
      </c>
      <c r="O17" s="75">
        <f>(IF(D17&lt;0,0,IF(D17&gt;4.8,4095,ROUND((D17/[1]Variables!F3),0))))</f>
        <v>2730</v>
      </c>
      <c r="P17" s="2" t="s">
        <v>25</v>
      </c>
      <c r="Q17" s="13">
        <f>_xlfn.BITAND(O17,255)</f>
        <v>170</v>
      </c>
      <c r="R17" s="13" t="str">
        <f>IF(Q17&lt;16,CONCATENATE("0x0",(DEC2HEX(Q17))),CONCATENATE("0x",(DEC2HEX(Q17))))</f>
        <v>0xAA</v>
      </c>
      <c r="S17" s="5" t="str">
        <f>DEC2BIN(Q17,8)</f>
        <v>10101010</v>
      </c>
      <c r="T17" t="str">
        <f t="shared" si="1"/>
        <v xml:space="preserve">0xAA, </v>
      </c>
      <c r="V17" t="s">
        <v>220</v>
      </c>
      <c r="X17">
        <f>D148</f>
        <v>2.7</v>
      </c>
      <c r="Y17">
        <f t="shared" si="2"/>
        <v>18.900000000000002</v>
      </c>
    </row>
    <row r="18" spans="1:25" x14ac:dyDescent="0.25">
      <c r="A18">
        <v>3</v>
      </c>
      <c r="B18">
        <f t="shared" si="0"/>
        <v>21</v>
      </c>
      <c r="C18">
        <f>D17*7</f>
        <v>22.400000000000002</v>
      </c>
      <c r="D18" s="74"/>
      <c r="E18" s="74"/>
      <c r="F18" s="74"/>
      <c r="G18" s="74"/>
      <c r="H18" s="74"/>
      <c r="I18" s="74"/>
      <c r="J18" s="74"/>
      <c r="K18" s="74"/>
      <c r="L18" s="72"/>
      <c r="M18" s="75"/>
      <c r="N18" s="72"/>
      <c r="O18" s="75"/>
      <c r="P18" s="2"/>
      <c r="Q18" s="2"/>
      <c r="R18" s="2"/>
      <c r="S18" s="1"/>
      <c r="V18" t="s">
        <v>221</v>
      </c>
      <c r="X18">
        <v>2.4</v>
      </c>
      <c r="Y18">
        <f t="shared" si="2"/>
        <v>16.8</v>
      </c>
    </row>
    <row r="19" spans="1:25" x14ac:dyDescent="0.25">
      <c r="D19" s="74"/>
      <c r="E19" s="74"/>
      <c r="F19" s="74"/>
      <c r="G19" s="74"/>
      <c r="H19" s="74"/>
      <c r="I19" s="74"/>
      <c r="J19" s="74"/>
      <c r="K19" s="74"/>
      <c r="L19" s="72"/>
      <c r="M19" s="75"/>
      <c r="N19" s="72"/>
      <c r="O19" s="75"/>
      <c r="P19" s="2" t="s">
        <v>26</v>
      </c>
      <c r="Q19" s="13">
        <f>((_xlfn.BITAND(O17,3840))/(2^8))</f>
        <v>10</v>
      </c>
      <c r="R19" s="13" t="str">
        <f>IF(Q19&lt;16,CONCATENATE("0x0",(DEC2HEX(Q19))),CONCATENATE("0x",(DEC2HEX(Q19))))</f>
        <v>0x0A</v>
      </c>
      <c r="S19" s="5" t="str">
        <f>DEC2BIN(Q19,8)</f>
        <v>00001010</v>
      </c>
      <c r="T19" t="str">
        <f t="shared" si="1"/>
        <v xml:space="preserve">0x0A, </v>
      </c>
      <c r="V19" t="s">
        <v>222</v>
      </c>
      <c r="X19">
        <v>2.2000000000000002</v>
      </c>
      <c r="Y19">
        <f t="shared" si="2"/>
        <v>15.400000000000002</v>
      </c>
    </row>
    <row r="20" spans="1:25" x14ac:dyDescent="0.25">
      <c r="D20" s="56" t="s">
        <v>27</v>
      </c>
      <c r="E20" s="56"/>
      <c r="F20" s="56"/>
      <c r="G20" s="56"/>
      <c r="H20" s="56"/>
      <c r="I20" s="56"/>
      <c r="J20" s="56"/>
      <c r="K20" s="56"/>
      <c r="L20" s="1"/>
      <c r="O20" s="1"/>
      <c r="P20" s="3"/>
      <c r="Q20" s="2"/>
      <c r="R20" s="2"/>
      <c r="S20" s="1"/>
    </row>
    <row r="21" spans="1:25" x14ac:dyDescent="0.25">
      <c r="D21" s="74">
        <f>X11</f>
        <v>4.25</v>
      </c>
      <c r="E21" s="74"/>
      <c r="F21" s="74"/>
      <c r="G21" s="74"/>
      <c r="H21" s="74"/>
      <c r="I21" s="74"/>
      <c r="J21" s="74"/>
      <c r="K21" s="74"/>
      <c r="L21" s="72" t="s">
        <v>5</v>
      </c>
      <c r="M21" s="78">
        <f>(O21*[1]Variables!C1/[1]Variables!C3)*[1]Variables!C2</f>
        <v>4.2502564102564158</v>
      </c>
      <c r="N21" s="72" t="s">
        <v>5</v>
      </c>
      <c r="O21" s="75">
        <f>(IF(D21&lt;0,0,IF(D21&gt;4.8,4095,ROUND((D21/[1]Variables!F3),0))))</f>
        <v>3626</v>
      </c>
      <c r="P21" s="2" t="s">
        <v>28</v>
      </c>
      <c r="Q21" s="13">
        <f>_xlfn.BITAND(O21,255)</f>
        <v>42</v>
      </c>
      <c r="R21" s="13" t="str">
        <f>IF(Q21&lt;16,CONCATENATE("0x0",(DEC2HEX(Q21))),CONCATENATE("0x",(DEC2HEX(Q21))))</f>
        <v>0x2A</v>
      </c>
      <c r="S21" s="5" t="str">
        <f>DEC2BIN(Q21,8)</f>
        <v>00101010</v>
      </c>
      <c r="T21" t="str">
        <f t="shared" si="1"/>
        <v xml:space="preserve">0x2A, </v>
      </c>
    </row>
    <row r="22" spans="1:25" x14ac:dyDescent="0.25">
      <c r="A22">
        <v>4.3</v>
      </c>
      <c r="B22">
        <f t="shared" si="0"/>
        <v>30.099999999999998</v>
      </c>
      <c r="C22">
        <f>D21*7</f>
        <v>29.75</v>
      </c>
      <c r="D22" s="74"/>
      <c r="E22" s="74"/>
      <c r="F22" s="74"/>
      <c r="G22" s="74"/>
      <c r="H22" s="74"/>
      <c r="I22" s="74"/>
      <c r="J22" s="74"/>
      <c r="K22" s="74"/>
      <c r="L22" s="72"/>
      <c r="M22" s="81"/>
      <c r="N22" s="72"/>
      <c r="O22" s="75"/>
      <c r="P22" s="2"/>
      <c r="Q22" s="2"/>
      <c r="R22" s="2"/>
      <c r="S22" s="1"/>
    </row>
    <row r="23" spans="1:25" x14ac:dyDescent="0.25">
      <c r="B23">
        <f t="shared" si="0"/>
        <v>0</v>
      </c>
      <c r="D23" s="74"/>
      <c r="E23" s="74"/>
      <c r="F23" s="74"/>
      <c r="G23" s="74"/>
      <c r="H23" s="74"/>
      <c r="I23" s="74"/>
      <c r="J23" s="74"/>
      <c r="K23" s="74"/>
      <c r="L23" s="72"/>
      <c r="M23" s="79"/>
      <c r="N23" s="72"/>
      <c r="O23" s="75"/>
      <c r="P23" s="2" t="s">
        <v>29</v>
      </c>
      <c r="Q23" s="13">
        <f>((_xlfn.BITAND(O21,3840))/(2^8))</f>
        <v>14</v>
      </c>
      <c r="R23" s="13" t="str">
        <f>IF(Q23&lt;16,CONCATENATE("0x0",(DEC2HEX(Q23))),CONCATENATE("0x",(DEC2HEX(Q23))))</f>
        <v>0x0E</v>
      </c>
      <c r="S23" s="5" t="str">
        <f>DEC2BIN(Q23,8)</f>
        <v>00001110</v>
      </c>
      <c r="T23" t="str">
        <f t="shared" si="1"/>
        <v xml:space="preserve">0x0E, </v>
      </c>
    </row>
    <row r="24" spans="1:25" x14ac:dyDescent="0.25">
      <c r="D24" s="56" t="s">
        <v>31</v>
      </c>
      <c r="E24" s="56"/>
      <c r="F24" s="56"/>
      <c r="G24" s="56"/>
      <c r="H24" s="56"/>
      <c r="I24" s="56"/>
      <c r="J24" s="56"/>
      <c r="K24" s="56"/>
      <c r="L24" s="1"/>
      <c r="O24" s="1"/>
      <c r="P24" s="2"/>
      <c r="Q24" s="2"/>
      <c r="R24" s="2"/>
      <c r="S24" s="1"/>
    </row>
    <row r="25" spans="1:25" x14ac:dyDescent="0.25">
      <c r="D25" s="74">
        <f>X19</f>
        <v>2.2000000000000002</v>
      </c>
      <c r="E25" s="74"/>
      <c r="F25" s="74"/>
      <c r="G25" s="74"/>
      <c r="H25" s="74"/>
      <c r="I25" s="74"/>
      <c r="J25" s="74"/>
      <c r="K25" s="74"/>
      <c r="L25" s="72" t="s">
        <v>5</v>
      </c>
      <c r="M25" s="75">
        <f>(O25*[1]Variables!C1/[1]Variables!C3)*[1]Variables!C2</f>
        <v>2.2001465201465229</v>
      </c>
      <c r="N25" s="64" t="s">
        <v>5</v>
      </c>
      <c r="O25" s="75">
        <f>(IF(D25&lt;0,0,IF(D25&gt;4.8,4095,ROUND((D25/[1]Variables!F3),0))))</f>
        <v>1877</v>
      </c>
      <c r="P25" s="2" t="s">
        <v>32</v>
      </c>
      <c r="Q25" s="13">
        <f>_xlfn.BITAND(O25,255)</f>
        <v>85</v>
      </c>
      <c r="R25" s="13" t="str">
        <f>IF(Q25&lt;16,CONCATENATE("0x0",(DEC2HEX(Q25))),CONCATENATE("0x",(DEC2HEX(Q25))))</f>
        <v>0x55</v>
      </c>
      <c r="S25" s="5" t="str">
        <f>DEC2BIN(Q25,8)</f>
        <v>01010101</v>
      </c>
      <c r="T25" t="str">
        <f t="shared" si="1"/>
        <v xml:space="preserve">0x55, </v>
      </c>
    </row>
    <row r="26" spans="1:25" x14ac:dyDescent="0.25">
      <c r="A26">
        <v>1.8</v>
      </c>
      <c r="B26">
        <f t="shared" si="0"/>
        <v>12.6</v>
      </c>
      <c r="C26">
        <f>D25*7</f>
        <v>15.400000000000002</v>
      </c>
      <c r="D26" s="74"/>
      <c r="E26" s="74"/>
      <c r="F26" s="74"/>
      <c r="G26" s="74"/>
      <c r="H26" s="74"/>
      <c r="I26" s="74"/>
      <c r="J26" s="74"/>
      <c r="K26" s="74"/>
      <c r="L26" s="72"/>
      <c r="M26" s="75"/>
      <c r="N26" s="80"/>
      <c r="O26" s="75"/>
      <c r="P26" s="2"/>
      <c r="Q26" s="2"/>
      <c r="R26" s="2"/>
      <c r="S26" s="1"/>
    </row>
    <row r="27" spans="1:25" x14ac:dyDescent="0.25">
      <c r="D27" s="74"/>
      <c r="E27" s="74"/>
      <c r="F27" s="74"/>
      <c r="G27" s="74"/>
      <c r="H27" s="74"/>
      <c r="I27" s="74"/>
      <c r="J27" s="74"/>
      <c r="K27" s="74"/>
      <c r="L27" s="72"/>
      <c r="M27" s="75"/>
      <c r="N27" s="65"/>
      <c r="O27" s="75"/>
      <c r="P27" s="2" t="s">
        <v>33</v>
      </c>
      <c r="Q27" s="13">
        <f>((_xlfn.BITAND(O25,3840))/(2^8))</f>
        <v>7</v>
      </c>
      <c r="R27" s="13" t="str">
        <f>IF(Q27&lt;16,CONCATENATE("0x0",(DEC2HEX(Q27))),CONCATENATE("0x",(DEC2HEX(Q27))))</f>
        <v>0x07</v>
      </c>
      <c r="S27" s="5" t="str">
        <f>DEC2BIN(Q27,8)</f>
        <v>00000111</v>
      </c>
      <c r="T27" t="str">
        <f t="shared" si="1"/>
        <v xml:space="preserve">0x07, </v>
      </c>
    </row>
    <row r="28" spans="1:25" x14ac:dyDescent="0.25">
      <c r="D28" s="56" t="s">
        <v>34</v>
      </c>
      <c r="E28" s="56"/>
      <c r="F28" s="56"/>
      <c r="G28" s="56"/>
      <c r="H28" s="56"/>
      <c r="I28" s="56"/>
      <c r="J28" s="56"/>
      <c r="K28" s="56"/>
      <c r="L28" s="1"/>
      <c r="O28" s="1"/>
      <c r="P28" s="2"/>
      <c r="Q28" s="2"/>
      <c r="R28" s="2"/>
      <c r="S28" s="1"/>
    </row>
    <row r="29" spans="1:25" x14ac:dyDescent="0.25">
      <c r="D29" s="58">
        <f>X13</f>
        <v>4.1500000000000004</v>
      </c>
      <c r="E29" s="59"/>
      <c r="F29" s="59"/>
      <c r="G29" s="59"/>
      <c r="H29" s="59"/>
      <c r="I29" s="59"/>
      <c r="J29" s="59"/>
      <c r="K29" s="60"/>
      <c r="L29" s="64" t="s">
        <v>5</v>
      </c>
      <c r="M29" s="75">
        <f>(O29*[1]Variables!C1/[1]Variables!C3)*[1]Variables!C2</f>
        <v>4.1494505494505551</v>
      </c>
      <c r="N29" s="72" t="s">
        <v>5</v>
      </c>
      <c r="O29" s="75">
        <f>(IF(D29&lt;0,0,IF(D29&gt;4.8,4095,ROUND((D29/[1]Variables!F3),0))))</f>
        <v>3540</v>
      </c>
      <c r="P29" s="2" t="s">
        <v>35</v>
      </c>
      <c r="Q29" s="13">
        <f>_xlfn.BITAND(O29,255)</f>
        <v>212</v>
      </c>
      <c r="R29" s="13" t="str">
        <f>IF(Q29&lt;16,CONCATENATE("0x0",(DEC2HEX(Q29))),CONCATENATE("0x",(DEC2HEX(Q29))))</f>
        <v>0xD4</v>
      </c>
      <c r="S29" s="5" t="str">
        <f>DEC2BIN(Q29,8)</f>
        <v>11010100</v>
      </c>
      <c r="T29" t="str">
        <f t="shared" si="1"/>
        <v xml:space="preserve">0xD4, </v>
      </c>
    </row>
    <row r="30" spans="1:25" x14ac:dyDescent="0.25">
      <c r="A30">
        <v>4.2</v>
      </c>
      <c r="B30">
        <f t="shared" si="0"/>
        <v>29.400000000000002</v>
      </c>
      <c r="C30">
        <f>D29*7</f>
        <v>29.050000000000004</v>
      </c>
      <c r="D30" s="82"/>
      <c r="E30" s="83"/>
      <c r="F30" s="83"/>
      <c r="G30" s="83"/>
      <c r="H30" s="83"/>
      <c r="I30" s="83"/>
      <c r="J30" s="83"/>
      <c r="K30" s="84"/>
      <c r="L30" s="80"/>
      <c r="M30" s="75"/>
      <c r="N30" s="72"/>
      <c r="O30" s="75"/>
      <c r="P30" s="2"/>
      <c r="Q30" s="2"/>
      <c r="R30" s="2"/>
      <c r="S30" s="1"/>
    </row>
    <row r="31" spans="1:25" x14ac:dyDescent="0.25">
      <c r="D31" s="61"/>
      <c r="E31" s="62"/>
      <c r="F31" s="62"/>
      <c r="G31" s="62"/>
      <c r="H31" s="62"/>
      <c r="I31" s="62"/>
      <c r="J31" s="62"/>
      <c r="K31" s="63"/>
      <c r="L31" s="65"/>
      <c r="M31" s="75"/>
      <c r="N31" s="72"/>
      <c r="O31" s="75"/>
      <c r="P31" s="2" t="s">
        <v>38</v>
      </c>
      <c r="Q31" s="13">
        <f>((_xlfn.BITAND(O29,3840))/(2^8))</f>
        <v>13</v>
      </c>
      <c r="R31" s="13" t="str">
        <f>IF(Q31&lt;16,CONCATENATE("0x0",(DEC2HEX(Q31))),CONCATENATE("0x",(DEC2HEX(Q31))))</f>
        <v>0x0D</v>
      </c>
      <c r="S31" s="5" t="str">
        <f>DEC2BIN(Q31,8)</f>
        <v>00001101</v>
      </c>
      <c r="T31" t="str">
        <f t="shared" si="1"/>
        <v xml:space="preserve">0x0D, </v>
      </c>
    </row>
    <row r="32" spans="1:25" x14ac:dyDescent="0.25">
      <c r="B32">
        <f t="shared" si="0"/>
        <v>0</v>
      </c>
      <c r="D32" s="56" t="s">
        <v>36</v>
      </c>
      <c r="E32" s="56"/>
      <c r="F32" s="56"/>
      <c r="G32" s="56"/>
      <c r="H32" s="56"/>
      <c r="I32" s="56"/>
      <c r="J32" s="56"/>
      <c r="K32" s="56"/>
      <c r="L32" s="1"/>
      <c r="O32" s="1"/>
      <c r="P32" s="2"/>
      <c r="Q32" s="2"/>
      <c r="R32" s="2"/>
      <c r="S32" s="1"/>
    </row>
    <row r="33" spans="1:20" x14ac:dyDescent="0.25">
      <c r="B33">
        <f t="shared" si="0"/>
        <v>0</v>
      </c>
      <c r="D33" s="74">
        <f>X18</f>
        <v>2.4</v>
      </c>
      <c r="E33" s="74"/>
      <c r="F33" s="74"/>
      <c r="G33" s="74"/>
      <c r="H33" s="74"/>
      <c r="I33" s="74"/>
      <c r="J33" s="74"/>
      <c r="K33" s="74"/>
      <c r="L33" s="72" t="s">
        <v>5</v>
      </c>
      <c r="M33" s="75">
        <f>(O33*[1]Variables!C1/[1]Variables!C3)*[1]Variables!C2</f>
        <v>2.4005860805860837</v>
      </c>
      <c r="N33" s="72" t="s">
        <v>5</v>
      </c>
      <c r="O33" s="75">
        <f>(IF(D33&lt;0,0,IF(D33&gt;4.8,4095,ROUND((D33/[1]Variables!F3),0))))</f>
        <v>2048</v>
      </c>
      <c r="P33" s="2" t="s">
        <v>37</v>
      </c>
      <c r="Q33" s="13">
        <f>_xlfn.BITAND(O33,255)</f>
        <v>0</v>
      </c>
      <c r="R33" s="13" t="str">
        <f>IF(Q33&lt;16,CONCATENATE("0x0",(DEC2HEX(Q33))),CONCATENATE("0x",(DEC2HEX(Q33))))</f>
        <v>0x00</v>
      </c>
      <c r="S33" s="5" t="str">
        <f>DEC2BIN(Q33,8)</f>
        <v>00000000</v>
      </c>
      <c r="T33" t="str">
        <f t="shared" si="1"/>
        <v xml:space="preserve">0x00, </v>
      </c>
    </row>
    <row r="34" spans="1:20" x14ac:dyDescent="0.25">
      <c r="A34">
        <v>2.2999999999999998</v>
      </c>
      <c r="B34">
        <f t="shared" si="0"/>
        <v>16.099999999999998</v>
      </c>
      <c r="C34">
        <f>D33*7</f>
        <v>16.8</v>
      </c>
      <c r="D34" s="74"/>
      <c r="E34" s="74"/>
      <c r="F34" s="74"/>
      <c r="G34" s="74"/>
      <c r="H34" s="74"/>
      <c r="I34" s="74"/>
      <c r="J34" s="74"/>
      <c r="K34" s="74"/>
      <c r="L34" s="72"/>
      <c r="M34" s="75"/>
      <c r="N34" s="72"/>
      <c r="O34" s="75"/>
      <c r="P34" s="2"/>
      <c r="Q34" s="2"/>
      <c r="R34" s="2"/>
      <c r="S34" s="1"/>
    </row>
    <row r="35" spans="1:20" x14ac:dyDescent="0.25">
      <c r="D35" s="74"/>
      <c r="E35" s="74"/>
      <c r="F35" s="74"/>
      <c r="G35" s="74"/>
      <c r="H35" s="74"/>
      <c r="I35" s="74"/>
      <c r="J35" s="74"/>
      <c r="K35" s="74"/>
      <c r="L35" s="72"/>
      <c r="M35" s="75"/>
      <c r="N35" s="72"/>
      <c r="O35" s="75"/>
      <c r="P35" s="2" t="s">
        <v>39</v>
      </c>
      <c r="Q35" s="13">
        <f>((_xlfn.BITAND(O33,3840))/(2^8))</f>
        <v>8</v>
      </c>
      <c r="R35" s="13" t="str">
        <f>IF(Q35&lt;16,CONCATENATE("0x0",(DEC2HEX(Q35))),CONCATENATE("0x",(DEC2HEX(Q35))))</f>
        <v>0x08</v>
      </c>
      <c r="S35" s="5" t="str">
        <f>DEC2BIN(Q35,8)</f>
        <v>00001000</v>
      </c>
      <c r="T35" t="str">
        <f t="shared" si="1"/>
        <v xml:space="preserve">0x08, </v>
      </c>
    </row>
    <row r="36" spans="1:20" x14ac:dyDescent="0.25">
      <c r="D36" s="56" t="s">
        <v>42</v>
      </c>
      <c r="E36" s="56"/>
      <c r="F36" s="56"/>
      <c r="G36" s="56"/>
      <c r="H36" s="56"/>
      <c r="I36" s="56"/>
      <c r="J36" s="56"/>
      <c r="K36" s="56"/>
      <c r="L36" s="1"/>
      <c r="O36" s="1"/>
      <c r="P36" s="2"/>
      <c r="Q36" s="2"/>
      <c r="R36" s="2"/>
      <c r="S36" s="1"/>
    </row>
    <row r="37" spans="1:20" x14ac:dyDescent="0.25">
      <c r="D37" s="53">
        <v>1</v>
      </c>
      <c r="E37" s="54"/>
      <c r="F37" s="54"/>
      <c r="G37" s="54"/>
      <c r="H37" s="54"/>
      <c r="I37" s="54"/>
      <c r="J37" s="54"/>
      <c r="K37" s="55"/>
      <c r="L37" s="16"/>
      <c r="M37" s="22">
        <f>IF(D37&lt;0,"0",IF(D37&gt;1024,"1024",ROUND(D37,0)))</f>
        <v>1</v>
      </c>
      <c r="N37" s="22" t="str">
        <f>M40</f>
        <v>s</v>
      </c>
      <c r="O37" s="23">
        <f>M37</f>
        <v>1</v>
      </c>
      <c r="P37" s="2" t="s">
        <v>41</v>
      </c>
      <c r="Q37" s="13">
        <f>_xlfn.BITAND(O37,255)</f>
        <v>1</v>
      </c>
      <c r="R37" s="13" t="str">
        <f>IF(Q37&lt;16,CONCATENATE("0x0",(DEC2HEX(Q37))),CONCATENATE("0x",(DEC2HEX(Q37))))</f>
        <v>0x01</v>
      </c>
      <c r="S37" s="5" t="str">
        <f>DEC2BIN(Q37,8)</f>
        <v>00000001</v>
      </c>
      <c r="T37" t="str">
        <f t="shared" si="1"/>
        <v xml:space="preserve">0x01, </v>
      </c>
    </row>
    <row r="38" spans="1:20" x14ac:dyDescent="0.25">
      <c r="D38" s="88" t="s">
        <v>40</v>
      </c>
      <c r="E38" s="89"/>
      <c r="F38" s="89"/>
      <c r="G38" s="89"/>
      <c r="H38" s="89"/>
      <c r="I38" s="89"/>
      <c r="J38" s="89"/>
      <c r="K38" s="90"/>
      <c r="L38" s="11"/>
      <c r="O38" s="11"/>
      <c r="P38" s="24"/>
      <c r="Q38" s="24"/>
      <c r="R38" s="24"/>
      <c r="S38" s="1"/>
    </row>
    <row r="39" spans="1:20" x14ac:dyDescent="0.25">
      <c r="D39" s="85" t="s">
        <v>45</v>
      </c>
      <c r="E39" s="86"/>
      <c r="F39" s="86"/>
      <c r="G39" s="87"/>
      <c r="H39" s="85" t="s">
        <v>46</v>
      </c>
      <c r="I39" s="86"/>
      <c r="J39" s="86"/>
      <c r="K39" s="87"/>
      <c r="L39" s="1"/>
      <c r="O39" s="1"/>
      <c r="P39" s="2" t="s">
        <v>43</v>
      </c>
      <c r="Q39" s="13">
        <f>(O40*4)+((_xlfn.BITAND(O37,768)/2^8))</f>
        <v>8</v>
      </c>
      <c r="R39" s="13" t="str">
        <f>IF(Q39&lt;16,CONCATENATE("0x0",(DEC2HEX(Q39))),CONCATENATE("0x",(DEC2HEX(Q39))))</f>
        <v>0x08</v>
      </c>
      <c r="S39" s="5" t="str">
        <f>DEC2BIN(Q39,8)</f>
        <v>00001000</v>
      </c>
      <c r="T39" t="str">
        <f t="shared" si="1"/>
        <v xml:space="preserve">0x08, </v>
      </c>
    </row>
    <row r="40" spans="1:20" x14ac:dyDescent="0.25">
      <c r="D40" s="53">
        <v>1</v>
      </c>
      <c r="E40" s="54"/>
      <c r="F40" s="54"/>
      <c r="G40" s="55"/>
      <c r="H40" s="71">
        <v>0</v>
      </c>
      <c r="I40" s="71"/>
      <c r="J40" s="71"/>
      <c r="K40" s="71"/>
      <c r="L40" s="21"/>
      <c r="M40" s="13" t="str">
        <f>IF(((D40*2 +H40) = 3),"min",IF((D40*2+H40 = 2), "s",IF((D40*2+H40=1),"ms","us")))</f>
        <v>s</v>
      </c>
      <c r="N40" s="16"/>
      <c r="O40" s="22">
        <f>IF(M40="min",3,IF(M40="s",2,IF(M40="ms",1,0)))</f>
        <v>2</v>
      </c>
      <c r="P40" s="2"/>
      <c r="Q40" s="2"/>
      <c r="R40" s="2"/>
      <c r="S40" s="1"/>
    </row>
    <row r="41" spans="1:20" x14ac:dyDescent="0.25">
      <c r="D41" s="56" t="s">
        <v>201</v>
      </c>
      <c r="E41" s="56"/>
      <c r="F41" s="56"/>
      <c r="G41" s="56"/>
      <c r="H41" s="56"/>
      <c r="I41" s="56"/>
      <c r="J41" s="56"/>
      <c r="K41" s="56"/>
      <c r="L41" s="11"/>
      <c r="O41" s="11"/>
      <c r="P41" s="24" t="s">
        <v>44</v>
      </c>
      <c r="Q41" s="13">
        <f>_xlfn.BITAND(O42,255)</f>
        <v>1</v>
      </c>
      <c r="R41" s="13" t="str">
        <f>IF(Q41&lt;16,CONCATENATE("0x0",(DEC2HEX(Q41))),CONCATENATE("0x",(DEC2HEX(Q41))))</f>
        <v>0x01</v>
      </c>
      <c r="S41" s="5" t="str">
        <f>DEC2BIN(Q41,8)</f>
        <v>00000001</v>
      </c>
      <c r="T41" t="str">
        <f t="shared" si="1"/>
        <v xml:space="preserve">0x01, </v>
      </c>
    </row>
    <row r="42" spans="1:20" x14ac:dyDescent="0.25">
      <c r="D42" s="71">
        <v>1</v>
      </c>
      <c r="E42" s="71"/>
      <c r="F42" s="71"/>
      <c r="G42" s="71"/>
      <c r="H42" s="71"/>
      <c r="I42" s="71"/>
      <c r="J42" s="71"/>
      <c r="K42" s="71"/>
      <c r="L42" s="16"/>
      <c r="M42" s="22">
        <f>IF(D42&lt;0,"0",IF(D42&gt;1024,"1024",ROUND(D42,0)))</f>
        <v>1</v>
      </c>
      <c r="N42" s="16"/>
      <c r="O42" s="22">
        <f>M42</f>
        <v>1</v>
      </c>
      <c r="P42" s="2"/>
      <c r="Q42" s="2"/>
      <c r="R42" s="2"/>
      <c r="S42" s="1"/>
    </row>
    <row r="43" spans="1:20" x14ac:dyDescent="0.25">
      <c r="D43" s="56" t="s">
        <v>180</v>
      </c>
      <c r="E43" s="56"/>
      <c r="F43" s="56"/>
      <c r="G43" s="56"/>
      <c r="H43" s="56"/>
      <c r="I43" s="56"/>
      <c r="J43" s="56"/>
      <c r="K43" s="56"/>
      <c r="L43" s="11"/>
      <c r="O43" s="11"/>
      <c r="P43" s="2" t="s">
        <v>47</v>
      </c>
      <c r="Q43" s="13">
        <f>(O45*4)+((_xlfn.BITAND(O42,768)/2^8))</f>
        <v>8</v>
      </c>
      <c r="R43" s="13" t="str">
        <f>IF(Q43&lt;16,CONCATENATE("0x0",(DEC2HEX(Q43))),CONCATENATE("0x",(DEC2HEX(Q43))))</f>
        <v>0x08</v>
      </c>
      <c r="S43" s="5" t="str">
        <f>DEC2BIN(Q43,8)</f>
        <v>00001000</v>
      </c>
      <c r="T43" t="str">
        <f t="shared" si="1"/>
        <v xml:space="preserve">0x08, </v>
      </c>
    </row>
    <row r="44" spans="1:20" x14ac:dyDescent="0.25">
      <c r="D44" s="85" t="s">
        <v>82</v>
      </c>
      <c r="E44" s="86"/>
      <c r="F44" s="86"/>
      <c r="G44" s="87"/>
      <c r="H44" s="85" t="s">
        <v>179</v>
      </c>
      <c r="I44" s="86"/>
      <c r="J44" s="86"/>
      <c r="K44" s="87"/>
      <c r="L44" s="11"/>
      <c r="O44" s="11"/>
      <c r="P44" s="2"/>
      <c r="Q44" s="2"/>
      <c r="R44" s="2"/>
      <c r="S44" s="1"/>
    </row>
    <row r="45" spans="1:20" x14ac:dyDescent="0.25">
      <c r="D45" s="74">
        <v>1</v>
      </c>
      <c r="E45" s="74"/>
      <c r="F45" s="74"/>
      <c r="G45" s="74"/>
      <c r="H45" s="74">
        <v>0</v>
      </c>
      <c r="I45" s="74"/>
      <c r="J45" s="74"/>
      <c r="K45" s="74"/>
      <c r="L45" s="16"/>
      <c r="M45" s="22" t="str">
        <f>IF(((D45*2 +H45) = 3),"min",IF((D45*2+H45 = 2), "s",IF((D45*2+H45=1),"ms","us")))</f>
        <v>s</v>
      </c>
      <c r="N45" s="16"/>
      <c r="O45" s="22">
        <f>IF(M45="min",3,IF(M45="s",2,IF(M45="ms",1,0)))</f>
        <v>2</v>
      </c>
      <c r="P45" s="16"/>
      <c r="Q45" s="16"/>
      <c r="R45" s="16"/>
      <c r="S45" s="1"/>
    </row>
    <row r="46" spans="1:20" x14ac:dyDescent="0.25">
      <c r="D46" s="56" t="s">
        <v>49</v>
      </c>
      <c r="E46" s="56"/>
      <c r="F46" s="56"/>
      <c r="G46" s="56"/>
      <c r="H46" s="56"/>
      <c r="I46" s="56"/>
      <c r="J46" s="56"/>
      <c r="K46" s="56"/>
      <c r="L46" s="11"/>
      <c r="O46" s="11"/>
      <c r="P46" s="24" t="s">
        <v>48</v>
      </c>
      <c r="Q46" s="26">
        <f>_xlfn.BITAND(O47,255)</f>
        <v>100</v>
      </c>
      <c r="R46" s="26" t="str">
        <f>IF(Q46&lt;16,CONCATENATE("0x0",(DEC2HEX(Q46))),CONCATENATE("0x",(DEC2HEX(Q46))))</f>
        <v>0x64</v>
      </c>
      <c r="S46" s="5" t="str">
        <f>DEC2BIN(Q46,8)</f>
        <v>01100100</v>
      </c>
      <c r="T46" t="str">
        <f t="shared" si="1"/>
        <v xml:space="preserve">0x64, </v>
      </c>
    </row>
    <row r="47" spans="1:20" x14ac:dyDescent="0.25">
      <c r="D47" s="96">
        <v>100</v>
      </c>
      <c r="E47" s="96"/>
      <c r="F47" s="96"/>
      <c r="G47" s="96"/>
      <c r="H47" s="96"/>
      <c r="I47" s="96"/>
      <c r="J47" s="96"/>
      <c r="K47" s="96"/>
      <c r="L47" s="16"/>
      <c r="M47" s="22">
        <f>IF(D47&lt;0, "0", IF(D47 &gt; 511, "511",ROUND(D47,0)))</f>
        <v>100</v>
      </c>
      <c r="N47" s="22" t="str">
        <f>M49</f>
        <v>ms</v>
      </c>
      <c r="O47" s="22">
        <f>M47</f>
        <v>100</v>
      </c>
      <c r="P47" s="2"/>
      <c r="Q47" s="2"/>
      <c r="R47" s="2"/>
      <c r="S47" s="1"/>
    </row>
    <row r="48" spans="1:20" x14ac:dyDescent="0.25">
      <c r="D48" s="97" t="s">
        <v>50</v>
      </c>
      <c r="E48" s="97"/>
      <c r="F48" s="97"/>
      <c r="G48" s="97"/>
      <c r="H48" s="97"/>
      <c r="I48" s="97"/>
      <c r="J48" s="97"/>
      <c r="K48" s="97"/>
      <c r="L48" s="11"/>
      <c r="O48" s="11"/>
      <c r="P48" s="2" t="s">
        <v>51</v>
      </c>
      <c r="Q48" s="13">
        <f>(O49*2)+((_xlfn.BITAND(O47,256)/2^8))</f>
        <v>2</v>
      </c>
      <c r="R48" s="13" t="str">
        <f>IF(Q48&lt;16,CONCATENATE("0x0",(DEC2HEX(Q48))),CONCATENATE("0x",(DEC2HEX(Q48))))</f>
        <v>0x02</v>
      </c>
      <c r="S48" s="5" t="str">
        <f>DEC2BIN(Q48,8)</f>
        <v>00000010</v>
      </c>
      <c r="T48" t="str">
        <f t="shared" si="1"/>
        <v xml:space="preserve">0x02, </v>
      </c>
    </row>
    <row r="49" spans="4:20" x14ac:dyDescent="0.25">
      <c r="D49" s="71">
        <v>1</v>
      </c>
      <c r="E49" s="71"/>
      <c r="F49" s="71"/>
      <c r="G49" s="71"/>
      <c r="H49" s="71"/>
      <c r="I49" s="71"/>
      <c r="J49" s="71"/>
      <c r="K49" s="71"/>
      <c r="L49" s="20"/>
      <c r="M49" s="13" t="str">
        <f>IF((D49=1),"ms","us")</f>
        <v>ms</v>
      </c>
      <c r="N49" s="2"/>
      <c r="O49" s="13">
        <f>IF(M49="ms",1,0)</f>
        <v>1</v>
      </c>
      <c r="P49" s="2"/>
      <c r="Q49" s="2"/>
      <c r="R49" s="2"/>
      <c r="S49" s="1"/>
    </row>
    <row r="50" spans="4:20" x14ac:dyDescent="0.25">
      <c r="D50" s="98" t="s">
        <v>52</v>
      </c>
      <c r="E50" s="98"/>
      <c r="F50" s="98"/>
      <c r="G50" s="98"/>
      <c r="H50" s="98"/>
      <c r="I50" s="98"/>
      <c r="J50" s="98"/>
      <c r="K50" s="98"/>
      <c r="O50" s="1"/>
      <c r="P50" s="1"/>
      <c r="Q50" s="1"/>
      <c r="R50" s="1"/>
      <c r="S50" s="1"/>
    </row>
    <row r="51" spans="4:20" x14ac:dyDescent="0.25">
      <c r="D51" s="99">
        <v>5</v>
      </c>
      <c r="E51" s="99"/>
      <c r="F51" s="99"/>
      <c r="G51" s="99"/>
      <c r="H51" s="99"/>
      <c r="I51" s="99"/>
      <c r="J51" s="99"/>
      <c r="K51" s="99"/>
      <c r="L51" s="16"/>
      <c r="M51" s="22">
        <f>IF(D51&lt;0, "0", IF(D51 &gt; 1024, "1024",ROUND(D51,0)))</f>
        <v>5</v>
      </c>
      <c r="N51" s="22" t="str">
        <f>M53</f>
        <v>s</v>
      </c>
      <c r="O51" s="23">
        <f>M51</f>
        <v>5</v>
      </c>
      <c r="P51" s="2" t="s">
        <v>53</v>
      </c>
      <c r="Q51" s="13">
        <f>_xlfn.BITAND(O51,255)</f>
        <v>5</v>
      </c>
      <c r="R51" s="13" t="str">
        <f>IF(Q51&lt;16,CONCATENATE("0x0",(DEC2HEX(Q51))),CONCATENATE("0x",(DEC2HEX(Q51))))</f>
        <v>0x05</v>
      </c>
      <c r="S51" s="5" t="str">
        <f>DEC2BIN(Q51,8)</f>
        <v>00000101</v>
      </c>
      <c r="T51" t="str">
        <f t="shared" si="1"/>
        <v xml:space="preserve">0x05, </v>
      </c>
    </row>
    <row r="52" spans="4:20" x14ac:dyDescent="0.25">
      <c r="D52" s="56" t="s">
        <v>54</v>
      </c>
      <c r="E52" s="56"/>
      <c r="F52" s="56"/>
      <c r="G52" s="56"/>
      <c r="H52" s="56"/>
      <c r="I52" s="56"/>
      <c r="J52" s="56"/>
      <c r="K52" s="56"/>
      <c r="L52" s="1"/>
      <c r="O52" s="1"/>
      <c r="P52" s="2"/>
      <c r="Q52" s="2"/>
      <c r="R52" s="2"/>
      <c r="S52" s="1"/>
    </row>
    <row r="53" spans="4:20" x14ac:dyDescent="0.25">
      <c r="D53" s="91" t="s">
        <v>55</v>
      </c>
      <c r="E53" s="92"/>
      <c r="F53" s="92"/>
      <c r="G53" s="56" t="s">
        <v>56</v>
      </c>
      <c r="H53" s="56"/>
      <c r="I53" s="56"/>
      <c r="J53" s="85" t="s">
        <v>10</v>
      </c>
      <c r="K53" s="87"/>
      <c r="L53" s="20" t="s">
        <v>10</v>
      </c>
      <c r="M53" s="13" t="str">
        <f>IF(((J54*2 +K54) = 3),"min",IF((J54*2+K54 = 2), "s",IF((J54*2+K54=1),"ms","us")))</f>
        <v>s</v>
      </c>
      <c r="N53" s="2"/>
      <c r="O53" s="1"/>
      <c r="P53" s="2" t="s">
        <v>59</v>
      </c>
      <c r="Q53" s="13">
        <f>(O54*4)+((_xlfn.BITAND(O51,768)/2^8))</f>
        <v>120</v>
      </c>
      <c r="R53" s="13" t="str">
        <f>IF(Q53&lt;16,CONCATENATE("0x0",(DEC2HEX(Q53))),CONCATENATE("0x",(DEC2HEX(Q53))))</f>
        <v>0x78</v>
      </c>
      <c r="S53" s="5" t="str">
        <f>DEC2BIN(Q53,8)</f>
        <v>01111000</v>
      </c>
      <c r="T53" t="str">
        <f t="shared" si="1"/>
        <v xml:space="preserve">0x78, </v>
      </c>
    </row>
    <row r="54" spans="4:20" x14ac:dyDescent="0.25">
      <c r="D54" s="93"/>
      <c r="E54" s="94"/>
      <c r="F54" s="95"/>
      <c r="G54" s="12">
        <v>1</v>
      </c>
      <c r="H54" s="12">
        <v>1</v>
      </c>
      <c r="I54" s="12">
        <v>1</v>
      </c>
      <c r="J54" s="12">
        <v>1</v>
      </c>
      <c r="K54" s="12">
        <v>0</v>
      </c>
      <c r="L54" s="20" t="s">
        <v>57</v>
      </c>
      <c r="M54" s="13">
        <f>IF(AND(G54 = 0,H54=0,I54=0), 4,IF(AND(G54 = 0,H54=0,I54=1),8,IF(AND(G54 = 0,H54=1,I54=0),16,IF(AND(G54 = 0,H54=1,I54=1),24,IF(AND(G54 = 1,H54=0,I54=0),32,IF(AND(G54 = 1,H54=0,I54=1),48,IF(AND(G54 = 1,H54=1,I54=0),64,IF(AND(G54 = 1,H54=1,I54=1),96,"false"))))))))</f>
        <v>96</v>
      </c>
      <c r="N54" s="2" t="s">
        <v>58</v>
      </c>
      <c r="O54" s="5">
        <f>BIN2DEC(CONCATENATE(G54,H54,I54,J54,K54))</f>
        <v>30</v>
      </c>
      <c r="P54" s="2"/>
      <c r="Q54" s="2"/>
      <c r="R54" s="2"/>
      <c r="S54" s="1"/>
    </row>
    <row r="55" spans="4:20" x14ac:dyDescent="0.25">
      <c r="D55" s="56" t="s">
        <v>60</v>
      </c>
      <c r="E55" s="56"/>
      <c r="F55" s="56"/>
      <c r="G55" s="56"/>
      <c r="H55" s="56"/>
      <c r="I55" s="56"/>
      <c r="J55" s="56"/>
      <c r="K55" s="56"/>
      <c r="O55" s="1"/>
      <c r="P55" s="1"/>
      <c r="Q55" s="1"/>
      <c r="R55" s="1"/>
      <c r="S55" s="1"/>
    </row>
    <row r="56" spans="4:20" x14ac:dyDescent="0.25">
      <c r="D56" s="71">
        <v>5</v>
      </c>
      <c r="E56" s="71"/>
      <c r="F56" s="71"/>
      <c r="G56" s="71"/>
      <c r="H56" s="71"/>
      <c r="I56" s="71"/>
      <c r="J56" s="71"/>
      <c r="K56" s="71"/>
      <c r="L56" s="16"/>
      <c r="M56" s="22">
        <f>IF(D56&lt;0, "0", IF(D56 &gt; 1024, "1024",ROUND(D56,0)))</f>
        <v>5</v>
      </c>
      <c r="N56" s="22" t="str">
        <f>M58</f>
        <v>s</v>
      </c>
      <c r="O56" s="23">
        <f>M56</f>
        <v>5</v>
      </c>
      <c r="P56" s="2" t="s">
        <v>64</v>
      </c>
      <c r="Q56" s="13">
        <f>_xlfn.BITAND(O56,255)</f>
        <v>5</v>
      </c>
      <c r="R56" s="13" t="str">
        <f>IF(Q56&lt;16,CONCATENATE("0x0",(DEC2HEX(Q56))),CONCATENATE("0x",(DEC2HEX(Q56))))</f>
        <v>0x05</v>
      </c>
      <c r="S56" s="5" t="str">
        <f>DEC2BIN(Q56,8)</f>
        <v>00000101</v>
      </c>
      <c r="T56" t="str">
        <f t="shared" si="1"/>
        <v xml:space="preserve">0x05, </v>
      </c>
    </row>
    <row r="57" spans="4:20" x14ac:dyDescent="0.25">
      <c r="D57" s="56" t="s">
        <v>61</v>
      </c>
      <c r="E57" s="56"/>
      <c r="F57" s="56"/>
      <c r="G57" s="56"/>
      <c r="H57" s="56"/>
      <c r="I57" s="56"/>
      <c r="J57" s="56"/>
      <c r="K57" s="56"/>
      <c r="L57" s="1"/>
      <c r="O57" s="1"/>
      <c r="P57" s="2"/>
      <c r="Q57" s="2"/>
      <c r="R57" s="2"/>
      <c r="S57" s="1"/>
    </row>
    <row r="58" spans="4:20" x14ac:dyDescent="0.25">
      <c r="D58" s="91" t="s">
        <v>55</v>
      </c>
      <c r="E58" s="92"/>
      <c r="F58" s="92"/>
      <c r="G58" s="56" t="s">
        <v>56</v>
      </c>
      <c r="H58" s="56"/>
      <c r="I58" s="56"/>
      <c r="J58" s="85" t="s">
        <v>10</v>
      </c>
      <c r="K58" s="87"/>
      <c r="L58" s="20" t="s">
        <v>10</v>
      </c>
      <c r="M58" s="13" t="str">
        <f>IF(((J59*2 +K59) = 3),"min",IF((J59*2+K59 = 2), "s",IF((J59*2+K59=1),"ms","us")))</f>
        <v>s</v>
      </c>
      <c r="N58" s="2"/>
      <c r="O58" s="1"/>
      <c r="P58" s="2" t="s">
        <v>65</v>
      </c>
      <c r="Q58" s="13">
        <f>(O59*4)+((_xlfn.BITAND(O56,768)/2^8))</f>
        <v>120</v>
      </c>
      <c r="R58" s="13" t="str">
        <f>IF(Q58&lt;16,CONCATENATE("0x0",(DEC2HEX(Q58))),CONCATENATE("0x",(DEC2HEX(Q58))))</f>
        <v>0x78</v>
      </c>
      <c r="S58" s="5" t="str">
        <f>DEC2BIN(Q58,8)</f>
        <v>01111000</v>
      </c>
      <c r="T58" t="str">
        <f t="shared" si="1"/>
        <v xml:space="preserve">0x78, </v>
      </c>
    </row>
    <row r="59" spans="4:20" x14ac:dyDescent="0.25">
      <c r="D59" s="93"/>
      <c r="E59" s="94"/>
      <c r="F59" s="95"/>
      <c r="G59" s="12">
        <v>1</v>
      </c>
      <c r="H59" s="12">
        <v>1</v>
      </c>
      <c r="I59" s="12">
        <v>1</v>
      </c>
      <c r="J59" s="12">
        <v>1</v>
      </c>
      <c r="K59" s="12">
        <v>0</v>
      </c>
      <c r="L59" s="20" t="s">
        <v>57</v>
      </c>
      <c r="M59" s="13">
        <f>IF(AND(G59 = 0,H59=0,I59=0), 1,IF(AND(G59 = 0,H59=0,I59=1),2,IF(AND(G59 = 0,H59=1,I59=0),4,IF(AND(G59 = 0,H59=1,I59=1),6,IF(AND(G59 = 1,H59=0,I59=0),8,IF(AND(G59 = 1,H59=0,I59=1),12,IF(AND(G59 = 1,H59=1,I59=0),16,IF(AND(G59 = 1,H59=1,I59=1),24,"false"))))))))</f>
        <v>24</v>
      </c>
      <c r="N59" s="2" t="s">
        <v>58</v>
      </c>
      <c r="O59" s="5">
        <f>BIN2DEC(CONCATENATE(G59,H59,I59,J59,K59))</f>
        <v>30</v>
      </c>
      <c r="P59" s="2"/>
      <c r="Q59" s="2"/>
      <c r="R59" s="2"/>
      <c r="S59" s="1"/>
    </row>
    <row r="60" spans="4:20" x14ac:dyDescent="0.25">
      <c r="D60" s="56" t="s">
        <v>62</v>
      </c>
      <c r="E60" s="56"/>
      <c r="F60" s="56"/>
      <c r="G60" s="56"/>
      <c r="H60" s="56"/>
      <c r="I60" s="56"/>
      <c r="J60" s="56"/>
      <c r="K60" s="56"/>
      <c r="O60" s="1"/>
      <c r="P60" s="1"/>
      <c r="Q60" s="1"/>
      <c r="R60" s="1"/>
      <c r="S60" s="1"/>
    </row>
    <row r="61" spans="4:20" x14ac:dyDescent="0.25">
      <c r="D61" s="71">
        <v>5</v>
      </c>
      <c r="E61" s="71"/>
      <c r="F61" s="71"/>
      <c r="G61" s="71"/>
      <c r="H61" s="71"/>
      <c r="I61" s="71"/>
      <c r="J61" s="71"/>
      <c r="K61" s="71"/>
      <c r="L61" s="16"/>
      <c r="M61" s="22">
        <f>IF(D61&lt;0, "0", IF(D61 &gt; 1024, "1024",ROUND(D61,0)))</f>
        <v>5</v>
      </c>
      <c r="N61" s="22" t="str">
        <f>M63</f>
        <v>s</v>
      </c>
      <c r="O61" s="23">
        <f>M61</f>
        <v>5</v>
      </c>
      <c r="P61" s="2" t="s">
        <v>66</v>
      </c>
      <c r="Q61" s="13">
        <f>_xlfn.BITAND(O61,255)</f>
        <v>5</v>
      </c>
      <c r="R61" s="13" t="str">
        <f>IF(Q61&lt;16,CONCATENATE("0x0",(DEC2HEX(Q61))),CONCATENATE("0x",(DEC2HEX(Q61))))</f>
        <v>0x05</v>
      </c>
      <c r="S61" s="5" t="str">
        <f>DEC2BIN(Q61,8)</f>
        <v>00000101</v>
      </c>
      <c r="T61" t="str">
        <f t="shared" si="1"/>
        <v xml:space="preserve">0x05, </v>
      </c>
    </row>
    <row r="62" spans="4:20" x14ac:dyDescent="0.25">
      <c r="D62" s="56" t="s">
        <v>63</v>
      </c>
      <c r="E62" s="56"/>
      <c r="F62" s="56"/>
      <c r="G62" s="56"/>
      <c r="H62" s="56"/>
      <c r="I62" s="56"/>
      <c r="J62" s="56"/>
      <c r="K62" s="56"/>
      <c r="L62" s="1"/>
      <c r="O62" s="1"/>
      <c r="P62" s="2"/>
      <c r="Q62" s="2"/>
      <c r="R62" s="2"/>
      <c r="S62" s="1"/>
    </row>
    <row r="63" spans="4:20" x14ac:dyDescent="0.25">
      <c r="D63" s="91" t="s">
        <v>55</v>
      </c>
      <c r="E63" s="92"/>
      <c r="F63" s="92"/>
      <c r="G63" s="56" t="s">
        <v>56</v>
      </c>
      <c r="H63" s="56"/>
      <c r="I63" s="56"/>
      <c r="J63" s="85" t="s">
        <v>10</v>
      </c>
      <c r="K63" s="87"/>
      <c r="L63" s="20" t="s">
        <v>10</v>
      </c>
      <c r="M63" s="13" t="str">
        <f>IF(((J64*2 +K64) = 3),"min",IF((J64*2+K64 = 2), "s",IF((J64*2+K64=1),"ms","us")))</f>
        <v>s</v>
      </c>
      <c r="N63" s="2"/>
      <c r="O63" s="1"/>
      <c r="P63" s="2" t="s">
        <v>67</v>
      </c>
      <c r="Q63" s="13">
        <f>(O64*4)+((_xlfn.BITAND(O61,768)/2^8))</f>
        <v>104</v>
      </c>
      <c r="R63" s="13" t="str">
        <f>IF(Q63&lt;16,CONCATENATE("0x0",(DEC2HEX(Q63))),CONCATENATE("0x",(DEC2HEX(Q63))))</f>
        <v>0x68</v>
      </c>
      <c r="S63" s="5" t="str">
        <f>DEC2BIN(Q63,8)</f>
        <v>01101000</v>
      </c>
      <c r="T63" t="str">
        <f t="shared" si="1"/>
        <v xml:space="preserve">0x68, </v>
      </c>
    </row>
    <row r="64" spans="4:20" x14ac:dyDescent="0.25">
      <c r="D64" s="101"/>
      <c r="E64" s="102"/>
      <c r="F64" s="103"/>
      <c r="G64" s="28">
        <v>1</v>
      </c>
      <c r="H64" s="28">
        <v>1</v>
      </c>
      <c r="I64" s="28">
        <v>0</v>
      </c>
      <c r="J64" s="28">
        <v>1</v>
      </c>
      <c r="K64" s="28">
        <v>0</v>
      </c>
      <c r="L64" s="20" t="s">
        <v>57</v>
      </c>
      <c r="M64" s="13">
        <f>IF(AND(G64 = 0,H64=0,I64=0), 16,IF(AND(G64 = 0,H64=0,I64=1),24,IF(AND(G64 = 0,H64=1,I64=0),32,IF(AND(G64 = 0,H64=1,I64=1),48,IF(AND(G64 = 1,H64=0,I64=0),64,IF(AND(G64 = 1,H64=0,I64=1),96,IF(AND(G64 = 1,H64=1,I64=0),128,IF(AND(G64 = 1,H64=1,I64=1),256,"false"))))))))</f>
        <v>128</v>
      </c>
      <c r="N64" s="2" t="s">
        <v>58</v>
      </c>
      <c r="O64" s="5">
        <f>BIN2DEC(CONCATENATE(G64,H64,I64,J64,K64))</f>
        <v>26</v>
      </c>
      <c r="P64" s="2"/>
      <c r="Q64" s="2"/>
      <c r="R64" s="2"/>
      <c r="S64" s="1"/>
    </row>
    <row r="65" spans="4:20" x14ac:dyDescent="0.25">
      <c r="D65" s="56" t="s">
        <v>68</v>
      </c>
      <c r="E65" s="56"/>
      <c r="F65" s="56"/>
      <c r="G65" s="56"/>
      <c r="H65" s="56"/>
      <c r="I65" s="56"/>
      <c r="J65" s="56"/>
      <c r="K65" s="56"/>
      <c r="L65" s="1"/>
      <c r="O65" s="1"/>
      <c r="P65" s="2"/>
      <c r="Q65" s="2"/>
      <c r="R65" s="2"/>
      <c r="S65" s="1"/>
    </row>
    <row r="66" spans="4:20" x14ac:dyDescent="0.25">
      <c r="D66" s="74">
        <f>X16</f>
        <v>2.9</v>
      </c>
      <c r="E66" s="74"/>
      <c r="F66" s="74"/>
      <c r="G66" s="74"/>
      <c r="H66" s="74"/>
      <c r="I66" s="74"/>
      <c r="J66" s="74"/>
      <c r="K66" s="74"/>
      <c r="L66" s="100" t="s">
        <v>5</v>
      </c>
      <c r="M66" s="75">
        <f>(O66*[1]Variables!C1/[1]Variables!C3)*[1]Variables!C2</f>
        <v>2.8999267399267437</v>
      </c>
      <c r="N66" s="72" t="s">
        <v>5</v>
      </c>
      <c r="O66" s="75">
        <f>(IF(D66&lt;0,0,IF(D66&gt;4.8,4095,ROUND((D66/[1]Variables!F3),0))))</f>
        <v>2474</v>
      </c>
      <c r="P66" s="20" t="s">
        <v>69</v>
      </c>
      <c r="Q66" s="13">
        <f>_xlfn.BITAND(O66,255)</f>
        <v>170</v>
      </c>
      <c r="R66" s="13" t="str">
        <f>IF(Q66&lt;16,CONCATENATE("0x0",(DEC2HEX(Q66))),CONCATENATE("0x",(DEC2HEX(Q66))))</f>
        <v>0xAA</v>
      </c>
      <c r="S66" s="5" t="str">
        <f>DEC2BIN(Q66,8)</f>
        <v>10101010</v>
      </c>
      <c r="T66" t="str">
        <f t="shared" si="1"/>
        <v xml:space="preserve">0xAA, </v>
      </c>
    </row>
    <row r="67" spans="4:20" x14ac:dyDescent="0.25">
      <c r="D67" s="74"/>
      <c r="E67" s="74"/>
      <c r="F67" s="74"/>
      <c r="G67" s="74"/>
      <c r="H67" s="74"/>
      <c r="I67" s="74"/>
      <c r="J67" s="74"/>
      <c r="K67" s="74"/>
      <c r="L67" s="100"/>
      <c r="M67" s="75"/>
      <c r="N67" s="72"/>
      <c r="O67" s="75"/>
      <c r="P67" s="2"/>
      <c r="Q67" s="2"/>
      <c r="R67" s="2"/>
      <c r="S67" s="1"/>
    </row>
    <row r="68" spans="4:20" x14ac:dyDescent="0.25">
      <c r="D68" s="74"/>
      <c r="E68" s="74"/>
      <c r="F68" s="74"/>
      <c r="G68" s="74"/>
      <c r="H68" s="74"/>
      <c r="I68" s="74"/>
      <c r="J68" s="74"/>
      <c r="K68" s="74"/>
      <c r="L68" s="100"/>
      <c r="M68" s="75"/>
      <c r="N68" s="72"/>
      <c r="O68" s="75"/>
      <c r="P68" s="2" t="s">
        <v>70</v>
      </c>
      <c r="Q68" s="13">
        <f>((_xlfn.BITAND(O66,3840))/(2^8))</f>
        <v>9</v>
      </c>
      <c r="R68" s="13" t="str">
        <f>IF(Q68&lt;16,CONCATENATE("0x0",(DEC2HEX(Q68))),CONCATENATE("0x",(DEC2HEX(Q68))))</f>
        <v>0x09</v>
      </c>
      <c r="S68" s="5" t="str">
        <f>DEC2BIN(Q68,8)</f>
        <v>00001001</v>
      </c>
      <c r="T68" t="str">
        <f t="shared" si="1"/>
        <v xml:space="preserve">0x09, </v>
      </c>
    </row>
    <row r="69" spans="4:20" x14ac:dyDescent="0.25">
      <c r="D69" s="56" t="s">
        <v>71</v>
      </c>
      <c r="E69" s="56"/>
      <c r="F69" s="56"/>
      <c r="G69" s="56"/>
      <c r="H69" s="56"/>
      <c r="I69" s="56"/>
      <c r="J69" s="56"/>
      <c r="K69" s="56"/>
      <c r="L69" s="1"/>
      <c r="O69" s="1"/>
      <c r="P69" s="2"/>
      <c r="Q69" s="2"/>
      <c r="R69" s="2"/>
      <c r="S69" s="1"/>
    </row>
    <row r="70" spans="4:20" x14ac:dyDescent="0.25">
      <c r="D70" s="74">
        <f>X13</f>
        <v>4.1500000000000004</v>
      </c>
      <c r="E70" s="74"/>
      <c r="F70" s="74"/>
      <c r="G70" s="74"/>
      <c r="H70" s="74"/>
      <c r="I70" s="74"/>
      <c r="J70" s="74"/>
      <c r="K70" s="74"/>
      <c r="L70" s="100" t="s">
        <v>5</v>
      </c>
      <c r="M70" s="75">
        <f>(O70*[1]Variables!C1/[1]Variables!C3)*[1]Variables!C2</f>
        <v>4.1494505494505551</v>
      </c>
      <c r="N70" s="72" t="s">
        <v>5</v>
      </c>
      <c r="O70" s="75">
        <f>(IF(D70&lt;0,0,IF(D70&gt;4.8,4095,ROUND((D70/[1]Variables!F3),0))))</f>
        <v>3540</v>
      </c>
      <c r="P70" s="20" t="s">
        <v>72</v>
      </c>
      <c r="Q70" s="13">
        <f>_xlfn.BITAND(O70,255)</f>
        <v>212</v>
      </c>
      <c r="R70" s="13" t="str">
        <f>IF(Q70&lt;16,CONCATENATE("0x0",(DEC2HEX(Q70))),CONCATENATE("0x",(DEC2HEX(Q70))))</f>
        <v>0xD4</v>
      </c>
      <c r="S70" s="5" t="str">
        <f>DEC2BIN(Q70,8)</f>
        <v>11010100</v>
      </c>
      <c r="T70" t="str">
        <f t="shared" ref="T70:T132" si="3">_xlfn.CONCAT(R70, ", ")</f>
        <v xml:space="preserve">0xD4, </v>
      </c>
    </row>
    <row r="71" spans="4:20" x14ac:dyDescent="0.25">
      <c r="D71" s="74"/>
      <c r="E71" s="74"/>
      <c r="F71" s="74"/>
      <c r="G71" s="74"/>
      <c r="H71" s="74"/>
      <c r="I71" s="74"/>
      <c r="J71" s="74"/>
      <c r="K71" s="74"/>
      <c r="L71" s="100"/>
      <c r="M71" s="75"/>
      <c r="N71" s="72"/>
      <c r="O71" s="75"/>
      <c r="P71" s="2"/>
      <c r="Q71" s="2"/>
      <c r="R71" s="2"/>
      <c r="S71" s="1"/>
    </row>
    <row r="72" spans="4:20" x14ac:dyDescent="0.25">
      <c r="D72" s="74"/>
      <c r="E72" s="74"/>
      <c r="F72" s="74"/>
      <c r="G72" s="74"/>
      <c r="H72" s="74"/>
      <c r="I72" s="74"/>
      <c r="J72" s="74"/>
      <c r="K72" s="74"/>
      <c r="L72" s="100"/>
      <c r="M72" s="75"/>
      <c r="N72" s="72"/>
      <c r="O72" s="75"/>
      <c r="P72" s="2" t="s">
        <v>73</v>
      </c>
      <c r="Q72" s="13">
        <f>((_xlfn.BITAND(O70,3840))/(2^8))</f>
        <v>13</v>
      </c>
      <c r="R72" s="13" t="str">
        <f>IF(Q72&lt;16,CONCATENATE("0x0",(DEC2HEX(Q72))),CONCATENATE("0x",(DEC2HEX(Q72))))</f>
        <v>0x0D</v>
      </c>
      <c r="S72" s="5" t="str">
        <f>DEC2BIN(Q72,8)</f>
        <v>00001101</v>
      </c>
      <c r="T72" t="str">
        <f t="shared" si="3"/>
        <v xml:space="preserve">0x0D, </v>
      </c>
    </row>
    <row r="73" spans="4:20" x14ac:dyDescent="0.25">
      <c r="D73" s="56" t="s">
        <v>74</v>
      </c>
      <c r="E73" s="56"/>
      <c r="F73" s="56"/>
      <c r="G73" s="56"/>
      <c r="H73" s="56"/>
      <c r="I73" s="56"/>
      <c r="J73" s="56"/>
      <c r="K73" s="56"/>
      <c r="L73" s="1"/>
      <c r="O73" s="1"/>
      <c r="P73" s="2"/>
      <c r="Q73" s="2"/>
      <c r="R73" s="2"/>
      <c r="S73" s="1"/>
    </row>
    <row r="74" spans="4:20" x14ac:dyDescent="0.25">
      <c r="D74" s="74">
        <v>0.04</v>
      </c>
      <c r="E74" s="74"/>
      <c r="F74" s="74"/>
      <c r="G74" s="74"/>
      <c r="H74" s="74"/>
      <c r="I74" s="74"/>
      <c r="J74" s="74"/>
      <c r="K74" s="74"/>
      <c r="L74" s="100" t="s">
        <v>5</v>
      </c>
      <c r="M74" s="75">
        <f>(O74*[1]Variables!C1/[1]Variables!C3)*[1]Variables!C2</f>
        <v>3.9853479853479902E-2</v>
      </c>
      <c r="N74" s="72" t="s">
        <v>5</v>
      </c>
      <c r="O74" s="75">
        <f>(IF(D74&lt;0,0,IF(D74&gt;4.8,4095,ROUND((D74/[1]Variables!F3),0))))</f>
        <v>34</v>
      </c>
      <c r="P74" s="20" t="s">
        <v>75</v>
      </c>
      <c r="Q74" s="13">
        <f>_xlfn.BITAND(O74,255)</f>
        <v>34</v>
      </c>
      <c r="R74" s="13" t="str">
        <f>IF(Q74&lt;16,CONCATENATE("0x0",(DEC2HEX(Q74))),CONCATENATE("0x",(DEC2HEX(Q74))))</f>
        <v>0x22</v>
      </c>
      <c r="S74" s="5" t="str">
        <f>DEC2BIN(Q74,8)</f>
        <v>00100010</v>
      </c>
      <c r="T74" t="str">
        <f t="shared" si="3"/>
        <v xml:space="preserve">0x22, </v>
      </c>
    </row>
    <row r="75" spans="4:20" x14ac:dyDescent="0.25">
      <c r="D75" s="74"/>
      <c r="E75" s="74"/>
      <c r="F75" s="74"/>
      <c r="G75" s="74"/>
      <c r="H75" s="74"/>
      <c r="I75" s="74"/>
      <c r="J75" s="74"/>
      <c r="K75" s="74"/>
      <c r="L75" s="100"/>
      <c r="M75" s="75"/>
      <c r="N75" s="72"/>
      <c r="O75" s="75"/>
      <c r="P75" s="2"/>
      <c r="Q75" s="2"/>
      <c r="R75" s="2"/>
      <c r="S75" s="1"/>
    </row>
    <row r="76" spans="4:20" x14ac:dyDescent="0.25">
      <c r="D76" s="74"/>
      <c r="E76" s="74"/>
      <c r="F76" s="74"/>
      <c r="G76" s="74"/>
      <c r="H76" s="74"/>
      <c r="I76" s="74"/>
      <c r="J76" s="74"/>
      <c r="K76" s="74"/>
      <c r="L76" s="100"/>
      <c r="M76" s="75"/>
      <c r="N76" s="72"/>
      <c r="O76" s="75"/>
      <c r="P76" s="2" t="s">
        <v>76</v>
      </c>
      <c r="Q76" s="13">
        <f>((_xlfn.BITAND(O74,3840))/(2^8))</f>
        <v>0</v>
      </c>
      <c r="R76" s="13" t="str">
        <f>IF(Q76&lt;16,CONCATENATE("0x0",(DEC2HEX(Q76))),CONCATENATE("0x",(DEC2HEX(Q76))))</f>
        <v>0x00</v>
      </c>
      <c r="S76" s="5" t="str">
        <f>DEC2BIN(Q76,8)</f>
        <v>00000000</v>
      </c>
      <c r="T76" t="str">
        <f t="shared" si="3"/>
        <v xml:space="preserve">0x00, </v>
      </c>
    </row>
    <row r="77" spans="4:20" x14ac:dyDescent="0.25">
      <c r="D77" s="56" t="s">
        <v>77</v>
      </c>
      <c r="E77" s="56"/>
      <c r="F77" s="56"/>
      <c r="G77" s="56"/>
      <c r="H77" s="56"/>
      <c r="I77" s="56"/>
      <c r="J77" s="56"/>
      <c r="K77" s="56"/>
      <c r="L77" s="1"/>
      <c r="O77" s="1"/>
      <c r="P77" s="2"/>
      <c r="Q77" s="2"/>
      <c r="R77" s="2"/>
      <c r="S77" s="1"/>
    </row>
    <row r="78" spans="4:20" x14ac:dyDescent="0.25">
      <c r="D78" s="74">
        <v>0.5</v>
      </c>
      <c r="E78" s="74"/>
      <c r="F78" s="74"/>
      <c r="G78" s="74"/>
      <c r="H78" s="74"/>
      <c r="I78" s="74"/>
      <c r="J78" s="74"/>
      <c r="K78" s="74"/>
      <c r="L78" s="100" t="s">
        <v>5</v>
      </c>
      <c r="M78" s="75">
        <f>(O78*[1]Variables!C1/[1]Variables!C3)*[1]Variables!C2</f>
        <v>0.50051282051282109</v>
      </c>
      <c r="N78" s="72" t="s">
        <v>5</v>
      </c>
      <c r="O78" s="75">
        <f>(IF(D78&lt;0,0,IF(D78&gt;4.8,4095,ROUND((D78/[1]Variables!F3),0))))</f>
        <v>427</v>
      </c>
      <c r="P78" s="20" t="s">
        <v>78</v>
      </c>
      <c r="Q78" s="13">
        <f>_xlfn.BITAND(O78,255)</f>
        <v>171</v>
      </c>
      <c r="R78" s="13" t="str">
        <f>IF(Q78&lt;16,CONCATENATE("0x0",(DEC2HEX(Q78))),CONCATENATE("0x",(DEC2HEX(Q78))))</f>
        <v>0xAB</v>
      </c>
      <c r="S78" s="5" t="str">
        <f>DEC2BIN(Q78,8)</f>
        <v>10101011</v>
      </c>
      <c r="T78" t="str">
        <f t="shared" si="3"/>
        <v xml:space="preserve">0xAB, </v>
      </c>
    </row>
    <row r="79" spans="4:20" x14ac:dyDescent="0.25">
      <c r="D79" s="74"/>
      <c r="E79" s="74"/>
      <c r="F79" s="74"/>
      <c r="G79" s="74"/>
      <c r="H79" s="74"/>
      <c r="I79" s="74"/>
      <c r="J79" s="74"/>
      <c r="K79" s="74"/>
      <c r="L79" s="100"/>
      <c r="M79" s="75"/>
      <c r="N79" s="72"/>
      <c r="O79" s="75"/>
      <c r="P79" s="2"/>
      <c r="Q79" s="2"/>
      <c r="R79" s="2"/>
      <c r="S79" s="1"/>
    </row>
    <row r="80" spans="4:20" x14ac:dyDescent="0.25">
      <c r="D80" s="74"/>
      <c r="E80" s="74"/>
      <c r="F80" s="74"/>
      <c r="G80" s="74"/>
      <c r="H80" s="74"/>
      <c r="I80" s="74"/>
      <c r="J80" s="74"/>
      <c r="K80" s="74"/>
      <c r="L80" s="100"/>
      <c r="M80" s="75"/>
      <c r="N80" s="72"/>
      <c r="O80" s="75"/>
      <c r="P80" s="2" t="s">
        <v>79</v>
      </c>
      <c r="Q80" s="13">
        <f>((_xlfn.BITAND(O78,3840))/(2^8))</f>
        <v>1</v>
      </c>
      <c r="R80" s="13" t="str">
        <f>IF(Q80&lt;16,CONCATENATE("0x0",(DEC2HEX(Q80))),CONCATENATE("0x",(DEC2HEX(Q80))))</f>
        <v>0x01</v>
      </c>
      <c r="S80" s="5" t="str">
        <f>DEC2BIN(Q80,8)</f>
        <v>00000001</v>
      </c>
      <c r="T80" t="str">
        <f t="shared" si="3"/>
        <v xml:space="preserve">0x01, </v>
      </c>
    </row>
    <row r="81" spans="3:20" x14ac:dyDescent="0.25">
      <c r="D81" s="56" t="s">
        <v>80</v>
      </c>
      <c r="E81" s="56"/>
      <c r="F81" s="56"/>
      <c r="G81" s="56"/>
      <c r="H81" s="56"/>
      <c r="I81" s="56"/>
      <c r="J81" s="56"/>
      <c r="K81" s="56"/>
      <c r="L81" s="11"/>
      <c r="O81" s="11"/>
      <c r="P81" s="24"/>
      <c r="Q81" s="2"/>
      <c r="R81" s="2"/>
      <c r="S81" s="1"/>
    </row>
    <row r="82" spans="3:20" x14ac:dyDescent="0.25">
      <c r="D82" s="71">
        <v>195</v>
      </c>
      <c r="E82" s="71"/>
      <c r="F82" s="71"/>
      <c r="G82" s="71"/>
      <c r="H82" s="71"/>
      <c r="I82" s="71"/>
      <c r="J82" s="71"/>
      <c r="K82" s="71"/>
      <c r="L82" s="16"/>
      <c r="M82" s="22">
        <v>100</v>
      </c>
      <c r="N82" s="22" t="str">
        <f>M85</f>
        <v>ms</v>
      </c>
      <c r="O82" s="22">
        <f>M82</f>
        <v>100</v>
      </c>
      <c r="P82" s="2"/>
      <c r="Q82" s="2"/>
      <c r="R82" s="2"/>
      <c r="S82" s="1"/>
    </row>
    <row r="83" spans="3:20" x14ac:dyDescent="0.25">
      <c r="D83" s="85" t="s">
        <v>85</v>
      </c>
      <c r="E83" s="86"/>
      <c r="F83" s="86"/>
      <c r="G83" s="86"/>
      <c r="H83" s="86"/>
      <c r="I83" s="86"/>
      <c r="J83" s="86"/>
      <c r="K83" s="87"/>
      <c r="L83" s="11"/>
      <c r="O83" s="11"/>
      <c r="P83" s="2" t="s">
        <v>83</v>
      </c>
      <c r="Q83" s="13">
        <f>_xlfn.BITAND(O82,255)</f>
        <v>100</v>
      </c>
      <c r="R83" s="13" t="str">
        <f>IF(Q83&lt;16,CONCATENATE("0x0",(DEC2HEX(Q83))),CONCATENATE("0x",(DEC2HEX(Q83))))</f>
        <v>0x64</v>
      </c>
      <c r="S83" s="5" t="str">
        <f>DEC2BIN(Q83,8)</f>
        <v>01100100</v>
      </c>
      <c r="T83" t="str">
        <f t="shared" si="3"/>
        <v xml:space="preserve">0x64, </v>
      </c>
    </row>
    <row r="84" spans="3:20" x14ac:dyDescent="0.25">
      <c r="D84" s="85" t="s">
        <v>81</v>
      </c>
      <c r="E84" s="86"/>
      <c r="F84" s="86"/>
      <c r="G84" s="87"/>
      <c r="H84" s="85" t="s">
        <v>181</v>
      </c>
      <c r="I84" s="86"/>
      <c r="J84" s="86"/>
      <c r="K84" s="87"/>
      <c r="L84" s="11"/>
      <c r="O84" s="11"/>
      <c r="P84" s="2"/>
      <c r="Q84" s="2"/>
      <c r="R84" s="2"/>
      <c r="S84" s="1"/>
    </row>
    <row r="85" spans="3:20" x14ac:dyDescent="0.25">
      <c r="D85" s="74">
        <v>0</v>
      </c>
      <c r="E85" s="74"/>
      <c r="F85" s="74"/>
      <c r="G85" s="74"/>
      <c r="H85" s="74">
        <v>1</v>
      </c>
      <c r="I85" s="74"/>
      <c r="J85" s="74"/>
      <c r="K85" s="74"/>
      <c r="L85" s="16"/>
      <c r="M85" s="22" t="str">
        <f>IF(((D85*2 +H85) = 3),"min",IF((D85*2+H85 = 2), "s",IF((D85*2+H85=1),"ms","us")))</f>
        <v>ms</v>
      </c>
      <c r="N85" s="16"/>
      <c r="O85" s="22">
        <f>IF(M85="min",3,IF(M85="s",2,IF(M85="ms",1,0)))</f>
        <v>1</v>
      </c>
      <c r="P85" s="16" t="s">
        <v>84</v>
      </c>
      <c r="Q85" s="22">
        <f>(O85*4)+((_xlfn.BITAND(O82,768)/2^8))</f>
        <v>4</v>
      </c>
      <c r="R85" s="22" t="str">
        <f>IF(Q85&lt;16,CONCATENATE("0x0",(DEC2HEX(Q85))),CONCATENATE("0x",(DEC2HEX(Q85))))</f>
        <v>0x04</v>
      </c>
      <c r="S85" s="5" t="str">
        <f>DEC2BIN(Q85,8)</f>
        <v>00000100</v>
      </c>
      <c r="T85" t="str">
        <f t="shared" si="3"/>
        <v xml:space="preserve">0x04, </v>
      </c>
    </row>
    <row r="86" spans="3:20" x14ac:dyDescent="0.25">
      <c r="D86" s="56" t="s">
        <v>86</v>
      </c>
      <c r="E86" s="56"/>
      <c r="F86" s="56"/>
      <c r="G86" s="56"/>
      <c r="H86" s="56"/>
      <c r="I86" s="56"/>
      <c r="J86" s="56"/>
      <c r="K86" s="56"/>
      <c r="L86" s="11"/>
      <c r="O86" s="11"/>
      <c r="P86" s="24"/>
      <c r="Q86" s="2"/>
      <c r="R86" s="2"/>
      <c r="S86" s="1"/>
    </row>
    <row r="87" spans="3:20" x14ac:dyDescent="0.25">
      <c r="D87" s="71">
        <v>5</v>
      </c>
      <c r="E87" s="71"/>
      <c r="F87" s="71"/>
      <c r="G87" s="71"/>
      <c r="H87" s="71"/>
      <c r="I87" s="71"/>
      <c r="J87" s="71"/>
      <c r="K87" s="71"/>
      <c r="L87" s="16"/>
      <c r="M87" s="22">
        <f>IF(D87&lt;0, "0", IF(D87 &gt; 1024, "1024",ROUND(D87,0)))</f>
        <v>5</v>
      </c>
      <c r="N87" s="16"/>
      <c r="O87" s="22">
        <f>M87</f>
        <v>5</v>
      </c>
      <c r="P87" s="2"/>
      <c r="Q87" s="2"/>
      <c r="R87" s="2"/>
      <c r="S87" s="1"/>
    </row>
    <row r="88" spans="3:20" x14ac:dyDescent="0.25">
      <c r="D88" s="85" t="s">
        <v>87</v>
      </c>
      <c r="E88" s="86"/>
      <c r="F88" s="86"/>
      <c r="G88" s="86"/>
      <c r="H88" s="86"/>
      <c r="I88" s="86"/>
      <c r="J88" s="86"/>
      <c r="K88" s="87"/>
      <c r="L88" s="11"/>
      <c r="O88" s="11"/>
      <c r="P88" s="2" t="s">
        <v>90</v>
      </c>
      <c r="Q88" s="13">
        <f>_xlfn.BITAND(O87,255)</f>
        <v>5</v>
      </c>
      <c r="R88" s="13" t="str">
        <f>IF(Q88&lt;16,CONCATENATE("0x0",(DEC2HEX(Q88))),CONCATENATE("0x",(DEC2HEX(Q88))))</f>
        <v>0x05</v>
      </c>
      <c r="S88" s="5" t="str">
        <f>DEC2BIN(Q88,8)</f>
        <v>00000101</v>
      </c>
      <c r="T88" t="str">
        <f t="shared" si="3"/>
        <v xml:space="preserve">0x05, </v>
      </c>
    </row>
    <row r="89" spans="3:20" x14ac:dyDescent="0.25">
      <c r="D89" s="85" t="s">
        <v>183</v>
      </c>
      <c r="E89" s="86"/>
      <c r="F89" s="86"/>
      <c r="G89" s="87"/>
      <c r="H89" s="85" t="s">
        <v>182</v>
      </c>
      <c r="I89" s="86"/>
      <c r="J89" s="86"/>
      <c r="K89" s="87"/>
      <c r="L89" s="11"/>
      <c r="O89" s="11"/>
      <c r="P89" s="2"/>
      <c r="Q89" s="2"/>
      <c r="R89" s="2"/>
      <c r="S89" s="1"/>
    </row>
    <row r="90" spans="3:20" x14ac:dyDescent="0.25">
      <c r="D90" s="74">
        <v>0</v>
      </c>
      <c r="E90" s="74"/>
      <c r="F90" s="74"/>
      <c r="G90" s="74"/>
      <c r="H90" s="74">
        <v>0</v>
      </c>
      <c r="I90" s="74"/>
      <c r="J90" s="74"/>
      <c r="K90" s="74"/>
      <c r="L90" s="16"/>
      <c r="M90" s="22" t="str">
        <f>IF(((D90*2 +H90) = 3),"min",IF((D90*2+H90 = 2), "s",IF((D90*2+H90=1),"ms","us")))</f>
        <v>us</v>
      </c>
      <c r="N90" s="16"/>
      <c r="O90" s="22">
        <f>IF(M90="min",3,IF(M90="s",2,IF(M90="ms",1,0)))</f>
        <v>0</v>
      </c>
      <c r="P90" s="16" t="s">
        <v>91</v>
      </c>
      <c r="Q90" s="22">
        <f>(O90*4)+((_xlfn.BITAND(O87,768)/2^8))</f>
        <v>0</v>
      </c>
      <c r="R90" s="22" t="str">
        <f>IF(Q90&lt;16,CONCATENATE("0x0",(DEC2HEX(Q90))),CONCATENATE("0x",(DEC2HEX(Q90))))</f>
        <v>0x00</v>
      </c>
      <c r="S90" s="5" t="str">
        <f>DEC2BIN(Q90,8)</f>
        <v>00000000</v>
      </c>
      <c r="T90" t="str">
        <f t="shared" si="3"/>
        <v xml:space="preserve">0x00, </v>
      </c>
    </row>
    <row r="91" spans="3:20" x14ac:dyDescent="0.25">
      <c r="D91" s="72" t="s">
        <v>89</v>
      </c>
      <c r="E91" s="72"/>
      <c r="F91" s="72"/>
      <c r="G91" s="72"/>
      <c r="H91" s="72"/>
      <c r="I91" s="72"/>
      <c r="J91" s="72"/>
      <c r="K91" s="72"/>
      <c r="L91" s="1"/>
      <c r="O91" s="1"/>
      <c r="P91" s="2"/>
      <c r="Q91" s="2"/>
      <c r="R91" s="2"/>
      <c r="S91" s="1"/>
    </row>
    <row r="92" spans="3:20" x14ac:dyDescent="0.25">
      <c r="D92" s="74">
        <f>0.6453*2</f>
        <v>1.2906</v>
      </c>
      <c r="E92" s="74"/>
      <c r="F92" s="74"/>
      <c r="G92" s="74"/>
      <c r="H92" s="74"/>
      <c r="I92" s="74"/>
      <c r="J92" s="74"/>
      <c r="K92" s="74"/>
      <c r="L92" s="100" t="s">
        <v>5</v>
      </c>
      <c r="M92" s="75">
        <f>(O92*[1]Variables!C1/[1]Variables!C3)</f>
        <v>1.2905494505494506</v>
      </c>
      <c r="N92" s="100" t="s">
        <v>5</v>
      </c>
      <c r="O92" s="75">
        <f>(IF(D92&lt;0,0,IF(D92&gt;1.8,4095,ROUND(((D92*4095)/1.8),0))))</f>
        <v>2936</v>
      </c>
      <c r="P92" s="2" t="s">
        <v>92</v>
      </c>
      <c r="Q92" s="13">
        <f>_xlfn.BITAND(O92,255)</f>
        <v>120</v>
      </c>
      <c r="R92" s="13" t="str">
        <f>IF(Q92&lt;16,CONCATENATE("0x0",(DEC2HEX(Q92))),CONCATENATE("0x",(DEC2HEX(Q92))))</f>
        <v>0x78</v>
      </c>
      <c r="S92" s="5" t="str">
        <f>DEC2BIN(Q92,8)</f>
        <v>01111000</v>
      </c>
      <c r="T92" t="str">
        <f t="shared" si="3"/>
        <v xml:space="preserve">0x78, </v>
      </c>
    </row>
    <row r="93" spans="3:20" x14ac:dyDescent="0.25">
      <c r="C93" t="s">
        <v>202</v>
      </c>
      <c r="D93" s="74"/>
      <c r="E93" s="74"/>
      <c r="F93" s="74"/>
      <c r="G93" s="74"/>
      <c r="H93" s="74"/>
      <c r="I93" s="74"/>
      <c r="J93" s="74"/>
      <c r="K93" s="74"/>
      <c r="L93" s="100"/>
      <c r="M93" s="75"/>
      <c r="N93" s="100"/>
      <c r="O93" s="75"/>
      <c r="P93" s="2"/>
      <c r="Q93" s="2"/>
      <c r="R93" s="2"/>
      <c r="S93" s="2"/>
    </row>
    <row r="94" spans="3:20" x14ac:dyDescent="0.25">
      <c r="D94" s="74"/>
      <c r="E94" s="74"/>
      <c r="F94" s="74"/>
      <c r="G94" s="74"/>
      <c r="H94" s="74"/>
      <c r="I94" s="74"/>
      <c r="J94" s="74"/>
      <c r="K94" s="74"/>
      <c r="L94" s="100"/>
      <c r="M94" s="75"/>
      <c r="N94" s="100"/>
      <c r="O94" s="75"/>
      <c r="P94" s="2" t="s">
        <v>93</v>
      </c>
      <c r="Q94" s="13">
        <f>((_xlfn.BITAND(O92,3840))/(2^8))</f>
        <v>11</v>
      </c>
      <c r="R94" s="13" t="str">
        <f>IF(Q94&lt;16,CONCATENATE("0x0",(DEC2HEX(Q94))),CONCATENATE("0x",(DEC2HEX(Q94))))</f>
        <v>0x0B</v>
      </c>
      <c r="S94" s="5" t="str">
        <f>DEC2BIN(Q94,8)</f>
        <v>00001011</v>
      </c>
      <c r="T94" t="str">
        <f t="shared" si="3"/>
        <v xml:space="preserve">0x0B, </v>
      </c>
    </row>
    <row r="95" spans="3:20" x14ac:dyDescent="0.25">
      <c r="D95" s="72" t="s">
        <v>94</v>
      </c>
      <c r="E95" s="72"/>
      <c r="F95" s="72"/>
      <c r="G95" s="72"/>
      <c r="H95" s="72"/>
      <c r="I95" s="72"/>
      <c r="J95" s="72"/>
      <c r="K95" s="72"/>
      <c r="L95" s="1"/>
      <c r="O95" s="1"/>
      <c r="P95" s="2"/>
      <c r="Q95" s="2"/>
      <c r="R95" s="2"/>
      <c r="S95" s="1"/>
    </row>
    <row r="96" spans="3:20" x14ac:dyDescent="0.25">
      <c r="D96" s="74">
        <f>0.6275*2</f>
        <v>1.2549999999999999</v>
      </c>
      <c r="E96" s="74"/>
      <c r="F96" s="74"/>
      <c r="G96" s="74"/>
      <c r="H96" s="74"/>
      <c r="I96" s="74"/>
      <c r="J96" s="74"/>
      <c r="K96" s="74"/>
      <c r="L96" s="100" t="s">
        <v>5</v>
      </c>
      <c r="M96" s="75">
        <f>(O96*[1]Variables!C1/[1]Variables!C3)</f>
        <v>1.2549450549450549</v>
      </c>
      <c r="N96" s="100" t="s">
        <v>5</v>
      </c>
      <c r="O96" s="75">
        <f>(IF(D96&lt;0,0,IF(D96&gt;1.8,4095,ROUND(((D96*4095)/1.8),0))))</f>
        <v>2855</v>
      </c>
      <c r="P96" s="2" t="s">
        <v>95</v>
      </c>
      <c r="Q96" s="13">
        <f>_xlfn.BITAND(O96,255)</f>
        <v>39</v>
      </c>
      <c r="R96" s="13" t="str">
        <f>IF(Q96&lt;16,CONCATENATE("0x0",(DEC2HEX(Q96))),CONCATENATE("0x",(DEC2HEX(Q96))))</f>
        <v>0x27</v>
      </c>
      <c r="S96" s="5" t="str">
        <f>DEC2BIN(Q96,8)</f>
        <v>00100111</v>
      </c>
      <c r="T96" t="str">
        <f t="shared" si="3"/>
        <v xml:space="preserve">0x27, </v>
      </c>
    </row>
    <row r="97" spans="3:20" x14ac:dyDescent="0.25">
      <c r="C97" t="s">
        <v>203</v>
      </c>
      <c r="D97" s="74"/>
      <c r="E97" s="74"/>
      <c r="F97" s="74"/>
      <c r="G97" s="74"/>
      <c r="H97" s="74"/>
      <c r="I97" s="74"/>
      <c r="J97" s="74"/>
      <c r="K97" s="74"/>
      <c r="L97" s="100"/>
      <c r="M97" s="75"/>
      <c r="N97" s="100"/>
      <c r="O97" s="75"/>
      <c r="P97" s="2"/>
      <c r="Q97" s="1"/>
      <c r="R97" s="1"/>
      <c r="S97" s="1"/>
    </row>
    <row r="98" spans="3:20" x14ac:dyDescent="0.25">
      <c r="D98" s="74"/>
      <c r="E98" s="74"/>
      <c r="F98" s="74"/>
      <c r="G98" s="74"/>
      <c r="H98" s="74"/>
      <c r="I98" s="74"/>
      <c r="J98" s="74"/>
      <c r="K98" s="74"/>
      <c r="L98" s="100"/>
      <c r="M98" s="75"/>
      <c r="N98" s="100"/>
      <c r="O98" s="75"/>
      <c r="P98" s="2" t="s">
        <v>96</v>
      </c>
      <c r="Q98" s="13">
        <f>((_xlfn.BITAND(O96,3840))/(2^8))</f>
        <v>11</v>
      </c>
      <c r="R98" s="13" t="str">
        <f>IF(Q98&lt;16,CONCATENATE("0x0",(DEC2HEX(Q98))),CONCATENATE("0x",(DEC2HEX(Q98))))</f>
        <v>0x0B</v>
      </c>
      <c r="S98" s="5" t="str">
        <f>DEC2BIN(Q98,8)</f>
        <v>00001011</v>
      </c>
      <c r="T98" t="str">
        <f t="shared" si="3"/>
        <v xml:space="preserve">0x0B, </v>
      </c>
    </row>
    <row r="99" spans="3:20" x14ac:dyDescent="0.25">
      <c r="D99" s="72" t="s">
        <v>100</v>
      </c>
      <c r="E99" s="72"/>
      <c r="F99" s="72"/>
      <c r="G99" s="72"/>
      <c r="H99" s="72"/>
      <c r="I99" s="72"/>
      <c r="J99" s="72"/>
      <c r="K99" s="72"/>
      <c r="L99" s="1"/>
      <c r="O99" s="1"/>
      <c r="P99" s="2"/>
      <c r="Q99" s="2"/>
      <c r="R99" s="2"/>
      <c r="S99" s="1"/>
    </row>
    <row r="100" spans="3:20" x14ac:dyDescent="0.25">
      <c r="D100" s="74">
        <f>0.3409*2</f>
        <v>0.68179999999999996</v>
      </c>
      <c r="E100" s="74"/>
      <c r="F100" s="74"/>
      <c r="G100" s="74"/>
      <c r="H100" s="74"/>
      <c r="I100" s="74"/>
      <c r="J100" s="74"/>
      <c r="K100" s="74"/>
      <c r="L100" s="100" t="s">
        <v>5</v>
      </c>
      <c r="M100" s="75">
        <f>(O100*[1]Variables!C1/[1]Variables!C3)</f>
        <v>0.68175824175824185</v>
      </c>
      <c r="N100" s="100" t="s">
        <v>5</v>
      </c>
      <c r="O100" s="75">
        <f>(IF(D100&lt;0,0,IF(D100&gt;1.8,4095,ROUND(((D100*4095)/1.8),0))))</f>
        <v>1551</v>
      </c>
      <c r="P100" s="2" t="s">
        <v>97</v>
      </c>
      <c r="Q100" s="13">
        <f>_xlfn.BITAND(O100,255)</f>
        <v>15</v>
      </c>
      <c r="R100" s="13" t="str">
        <f>IF(Q100&lt;16,CONCATENATE("0x0",(DEC2HEX(Q100))),CONCATENATE("0x",(DEC2HEX(Q100))))</f>
        <v>0x0F</v>
      </c>
      <c r="S100" s="5" t="str">
        <f>DEC2BIN(Q100,8)</f>
        <v>00001111</v>
      </c>
      <c r="T100" t="str">
        <f t="shared" si="3"/>
        <v xml:space="preserve">0x0F, </v>
      </c>
    </row>
    <row r="101" spans="3:20" x14ac:dyDescent="0.25">
      <c r="C101" t="s">
        <v>204</v>
      </c>
      <c r="D101" s="74"/>
      <c r="E101" s="74"/>
      <c r="F101" s="74"/>
      <c r="G101" s="74"/>
      <c r="H101" s="74"/>
      <c r="I101" s="74"/>
      <c r="J101" s="74"/>
      <c r="K101" s="74"/>
      <c r="L101" s="100"/>
      <c r="M101" s="75"/>
      <c r="N101" s="100"/>
      <c r="O101" s="75"/>
      <c r="P101" s="2"/>
      <c r="Q101" s="1"/>
      <c r="R101" s="1"/>
      <c r="S101" s="1"/>
    </row>
    <row r="102" spans="3:20" x14ac:dyDescent="0.25">
      <c r="D102" s="74"/>
      <c r="E102" s="74"/>
      <c r="F102" s="74"/>
      <c r="G102" s="74"/>
      <c r="H102" s="74"/>
      <c r="I102" s="74"/>
      <c r="J102" s="74"/>
      <c r="K102" s="74"/>
      <c r="L102" s="100"/>
      <c r="M102" s="75"/>
      <c r="N102" s="100"/>
      <c r="O102" s="75"/>
      <c r="P102" s="2" t="s">
        <v>98</v>
      </c>
      <c r="Q102" s="13">
        <f>((_xlfn.BITAND(O100,3840))/(2^8))</f>
        <v>6</v>
      </c>
      <c r="R102" s="13" t="str">
        <f>IF(Q102&lt;16,CONCATENATE("0x0",(DEC2HEX(Q102))),CONCATENATE("0x",(DEC2HEX(Q102))))</f>
        <v>0x06</v>
      </c>
      <c r="S102" s="5" t="str">
        <f>DEC2BIN(Q102,8)</f>
        <v>00000110</v>
      </c>
      <c r="T102" t="str">
        <f t="shared" si="3"/>
        <v xml:space="preserve">0x06, </v>
      </c>
    </row>
    <row r="103" spans="3:20" x14ac:dyDescent="0.25">
      <c r="D103" s="72" t="s">
        <v>101</v>
      </c>
      <c r="E103" s="72"/>
      <c r="F103" s="72"/>
      <c r="G103" s="72"/>
      <c r="H103" s="72"/>
      <c r="I103" s="72"/>
      <c r="J103" s="72"/>
      <c r="K103" s="72"/>
      <c r="L103" s="1"/>
      <c r="O103" s="9"/>
      <c r="P103" s="19"/>
      <c r="Q103" s="19"/>
      <c r="R103" s="2"/>
      <c r="S103" s="1"/>
    </row>
    <row r="104" spans="3:20" x14ac:dyDescent="0.25">
      <c r="D104" s="74">
        <f>0.380481924339651*2</f>
        <v>0.760963848679302</v>
      </c>
      <c r="E104" s="74"/>
      <c r="F104" s="74"/>
      <c r="G104" s="74"/>
      <c r="H104" s="74"/>
      <c r="I104" s="74"/>
      <c r="J104" s="74"/>
      <c r="K104" s="74"/>
      <c r="L104" s="100" t="s">
        <v>5</v>
      </c>
      <c r="M104" s="75">
        <f>(O104*[1]Variables!C1/[1]Variables!C3)</f>
        <v>0.76087912087912091</v>
      </c>
      <c r="N104" s="104" t="s">
        <v>5</v>
      </c>
      <c r="O104" s="75">
        <f>(IF(D104&lt;0,0,IF(D104&gt;1.8,4095,ROUND(((D104*4095)/1.8),0))))</f>
        <v>1731</v>
      </c>
      <c r="P104" s="2" t="s">
        <v>99</v>
      </c>
      <c r="Q104" s="13">
        <f>_xlfn.BITAND(O104,255)</f>
        <v>195</v>
      </c>
      <c r="R104" s="27" t="str">
        <f>IF(Q104&lt;16,CONCATENATE("0x0",(DEC2HEX(Q104))),CONCATENATE("0x",(DEC2HEX(Q104))))</f>
        <v>0xC3</v>
      </c>
      <c r="S104" s="5" t="str">
        <f>DEC2BIN(Q104,8)</f>
        <v>11000011</v>
      </c>
      <c r="T104" t="str">
        <f t="shared" si="3"/>
        <v xml:space="preserve">0xC3, </v>
      </c>
    </row>
    <row r="105" spans="3:20" x14ac:dyDescent="0.25">
      <c r="C105" t="s">
        <v>205</v>
      </c>
      <c r="D105" s="74"/>
      <c r="E105" s="74"/>
      <c r="F105" s="74"/>
      <c r="G105" s="74"/>
      <c r="H105" s="74"/>
      <c r="I105" s="74"/>
      <c r="J105" s="74"/>
      <c r="K105" s="74"/>
      <c r="L105" s="100"/>
      <c r="M105" s="75"/>
      <c r="N105" s="104"/>
      <c r="O105" s="75"/>
      <c r="P105" s="2"/>
      <c r="Q105" s="1"/>
      <c r="R105" s="6"/>
      <c r="S105" s="1"/>
    </row>
    <row r="106" spans="3:20" x14ac:dyDescent="0.25">
      <c r="D106" s="74"/>
      <c r="E106" s="74"/>
      <c r="F106" s="74"/>
      <c r="G106" s="74"/>
      <c r="H106" s="74"/>
      <c r="I106" s="74"/>
      <c r="J106" s="74"/>
      <c r="K106" s="74"/>
      <c r="L106" s="100"/>
      <c r="M106" s="75"/>
      <c r="N106" s="104"/>
      <c r="O106" s="75"/>
      <c r="P106" s="2" t="s">
        <v>105</v>
      </c>
      <c r="Q106" s="13">
        <f>((_xlfn.BITAND(O104,3840))/(2^8))</f>
        <v>6</v>
      </c>
      <c r="R106" s="27" t="str">
        <f>IF(Q106&lt;16,CONCATENATE("0x0",(DEC2HEX(Q106))),CONCATENATE("0x",(DEC2HEX(Q106))))</f>
        <v>0x06</v>
      </c>
      <c r="S106" s="5" t="str">
        <f>DEC2BIN(Q106,8)</f>
        <v>00000110</v>
      </c>
      <c r="T106" t="str">
        <f t="shared" si="3"/>
        <v xml:space="preserve">0x06, </v>
      </c>
    </row>
    <row r="107" spans="3:20" x14ac:dyDescent="0.25">
      <c r="D107" s="72" t="s">
        <v>106</v>
      </c>
      <c r="E107" s="72"/>
      <c r="F107" s="72"/>
      <c r="G107" s="72"/>
      <c r="H107" s="72"/>
      <c r="I107" s="72"/>
      <c r="J107" s="72"/>
      <c r="K107" s="72"/>
      <c r="L107" s="1"/>
      <c r="O107" s="9"/>
      <c r="P107" s="19"/>
      <c r="Q107" s="19"/>
      <c r="R107" s="2"/>
      <c r="S107" s="1"/>
    </row>
    <row r="108" spans="3:20" x14ac:dyDescent="0.25">
      <c r="D108" s="74">
        <f>0.2363*2</f>
        <v>0.47260000000000002</v>
      </c>
      <c r="E108" s="74"/>
      <c r="F108" s="74"/>
      <c r="G108" s="74"/>
      <c r="H108" s="74"/>
      <c r="I108" s="74"/>
      <c r="J108" s="74"/>
      <c r="K108" s="74"/>
      <c r="L108" s="100" t="s">
        <v>5</v>
      </c>
      <c r="M108" s="75">
        <f>(O108*[1]Variables!C1/[1]Variables!C3)</f>
        <v>0.47252747252747251</v>
      </c>
      <c r="N108" s="104" t="s">
        <v>5</v>
      </c>
      <c r="O108" s="75">
        <f>(IF(D108&lt;0,0,IF(D108&gt;1.8,4095,ROUND(((D108*4095)/1.8),0))))</f>
        <v>1075</v>
      </c>
      <c r="P108" s="2" t="s">
        <v>103</v>
      </c>
      <c r="Q108" s="13">
        <f>_xlfn.BITAND(O108,255)</f>
        <v>51</v>
      </c>
      <c r="R108" s="27" t="str">
        <f>IF(Q108&lt;16,CONCATENATE("0x0",(DEC2HEX(Q108))),CONCATENATE("0x",(DEC2HEX(Q108))))</f>
        <v>0x33</v>
      </c>
      <c r="S108" s="5" t="str">
        <f>DEC2BIN(Q108,8)</f>
        <v>00110011</v>
      </c>
      <c r="T108" t="str">
        <f t="shared" si="3"/>
        <v xml:space="preserve">0x33, </v>
      </c>
    </row>
    <row r="109" spans="3:20" x14ac:dyDescent="0.25">
      <c r="C109" t="s">
        <v>206</v>
      </c>
      <c r="D109" s="74"/>
      <c r="E109" s="74"/>
      <c r="F109" s="74"/>
      <c r="G109" s="74"/>
      <c r="H109" s="74"/>
      <c r="I109" s="74"/>
      <c r="J109" s="74"/>
      <c r="K109" s="74"/>
      <c r="L109" s="100"/>
      <c r="M109" s="75"/>
      <c r="N109" s="104"/>
      <c r="O109" s="75"/>
      <c r="P109" s="2"/>
      <c r="Q109" s="1"/>
      <c r="R109" s="6"/>
      <c r="S109" s="1"/>
    </row>
    <row r="110" spans="3:20" x14ac:dyDescent="0.25">
      <c r="D110" s="74"/>
      <c r="E110" s="74"/>
      <c r="F110" s="74"/>
      <c r="G110" s="74"/>
      <c r="H110" s="74"/>
      <c r="I110" s="74"/>
      <c r="J110" s="74"/>
      <c r="K110" s="74"/>
      <c r="L110" s="100"/>
      <c r="M110" s="75"/>
      <c r="N110" s="104"/>
      <c r="O110" s="75"/>
      <c r="P110" s="2" t="s">
        <v>104</v>
      </c>
      <c r="Q110" s="13">
        <f>((_xlfn.BITAND(O108,3840))/(2^8))</f>
        <v>4</v>
      </c>
      <c r="R110" s="27" t="str">
        <f>IF(Q110&lt;16,CONCATENATE("0x0",(DEC2HEX(Q110))),CONCATENATE("0x",(DEC2HEX(Q110))))</f>
        <v>0x04</v>
      </c>
      <c r="S110" s="5" t="str">
        <f>DEC2BIN(Q110,8)</f>
        <v>00000100</v>
      </c>
      <c r="T110" t="str">
        <f t="shared" si="3"/>
        <v xml:space="preserve">0x04, </v>
      </c>
    </row>
    <row r="111" spans="3:20" x14ac:dyDescent="0.25">
      <c r="D111" s="72" t="s">
        <v>102</v>
      </c>
      <c r="E111" s="72"/>
      <c r="F111" s="72"/>
      <c r="G111" s="72"/>
      <c r="H111" s="72"/>
      <c r="I111" s="72"/>
      <c r="J111" s="72"/>
      <c r="K111" s="72"/>
      <c r="L111" s="1"/>
      <c r="O111" s="9"/>
      <c r="P111" s="19"/>
      <c r="Q111" s="19"/>
      <c r="R111" s="2"/>
      <c r="S111" s="1"/>
    </row>
    <row r="112" spans="3:20" x14ac:dyDescent="0.25">
      <c r="D112" s="74">
        <f>0.2683*2</f>
        <v>0.53659999999999997</v>
      </c>
      <c r="E112" s="74"/>
      <c r="F112" s="74"/>
      <c r="G112" s="74"/>
      <c r="H112" s="74"/>
      <c r="I112" s="74"/>
      <c r="J112" s="74"/>
      <c r="K112" s="74"/>
      <c r="L112" s="100" t="s">
        <v>5</v>
      </c>
      <c r="M112" s="75">
        <f>(O112*[1]Variables!C1/[1]Variables!C3)</f>
        <v>0.53670329670329675</v>
      </c>
      <c r="N112" s="104" t="s">
        <v>5</v>
      </c>
      <c r="O112" s="75">
        <f>(IF(D112&lt;0,0,IF(D112&gt;1.8,4095,ROUND(((D112*4095)/1.8),0))))</f>
        <v>1221</v>
      </c>
      <c r="P112" s="2" t="s">
        <v>107</v>
      </c>
      <c r="Q112" s="13">
        <f>_xlfn.BITAND(O112,255)</f>
        <v>197</v>
      </c>
      <c r="R112" s="27" t="str">
        <f>IF(Q112&lt;16,CONCATENATE("0x0",(DEC2HEX(Q112))),CONCATENATE("0x",(DEC2HEX(Q112))))</f>
        <v>0xC5</v>
      </c>
      <c r="S112" s="5" t="str">
        <f>DEC2BIN(Q112,8)</f>
        <v>11000101</v>
      </c>
      <c r="T112" t="str">
        <f t="shared" si="3"/>
        <v xml:space="preserve">0xC5, </v>
      </c>
    </row>
    <row r="113" spans="3:20" x14ac:dyDescent="0.25">
      <c r="C113" t="s">
        <v>207</v>
      </c>
      <c r="D113" s="74"/>
      <c r="E113" s="74"/>
      <c r="F113" s="74"/>
      <c r="G113" s="74"/>
      <c r="H113" s="74"/>
      <c r="I113" s="74"/>
      <c r="J113" s="74"/>
      <c r="K113" s="74"/>
      <c r="L113" s="100"/>
      <c r="M113" s="75"/>
      <c r="N113" s="104"/>
      <c r="O113" s="75"/>
      <c r="P113" s="2"/>
      <c r="Q113" s="1"/>
      <c r="R113" s="6"/>
      <c r="S113" s="1"/>
    </row>
    <row r="114" spans="3:20" x14ac:dyDescent="0.25">
      <c r="D114" s="74"/>
      <c r="E114" s="74"/>
      <c r="F114" s="74"/>
      <c r="G114" s="74"/>
      <c r="H114" s="74"/>
      <c r="I114" s="74"/>
      <c r="J114" s="74"/>
      <c r="K114" s="74"/>
      <c r="L114" s="100"/>
      <c r="M114" s="75"/>
      <c r="N114" s="104"/>
      <c r="O114" s="75"/>
      <c r="P114" s="2" t="s">
        <v>108</v>
      </c>
      <c r="Q114" s="13">
        <f>((_xlfn.BITAND(O112,3840))/(2^8))</f>
        <v>4</v>
      </c>
      <c r="R114" s="27" t="str">
        <f>IF(Q114&lt;16,CONCATENATE("0x0",(DEC2HEX(Q114))),CONCATENATE("0x",(DEC2HEX(Q114))))</f>
        <v>0x04</v>
      </c>
      <c r="S114" s="5" t="str">
        <f>DEC2BIN(Q114,8)</f>
        <v>00000100</v>
      </c>
      <c r="T114" t="str">
        <f t="shared" si="3"/>
        <v xml:space="preserve">0x04, </v>
      </c>
    </row>
    <row r="115" spans="3:20" x14ac:dyDescent="0.25">
      <c r="D115" s="72" t="s">
        <v>109</v>
      </c>
      <c r="E115" s="72"/>
      <c r="F115" s="72"/>
      <c r="G115" s="72"/>
      <c r="H115" s="72"/>
      <c r="I115" s="72"/>
      <c r="J115" s="72"/>
      <c r="K115" s="72"/>
      <c r="L115" s="1"/>
      <c r="O115" s="9"/>
      <c r="P115" s="19"/>
      <c r="Q115" s="19"/>
      <c r="R115" s="2"/>
      <c r="S115" s="1"/>
    </row>
    <row r="116" spans="3:20" x14ac:dyDescent="0.25">
      <c r="D116" s="74">
        <f>0.6564*2</f>
        <v>1.3128</v>
      </c>
      <c r="E116" s="74"/>
      <c r="F116" s="74"/>
      <c r="G116" s="74"/>
      <c r="H116" s="74"/>
      <c r="I116" s="74"/>
      <c r="J116" s="74"/>
      <c r="K116" s="74"/>
      <c r="L116" s="100" t="s">
        <v>5</v>
      </c>
      <c r="M116" s="75">
        <f>(O116*[1]Variables!C1/[1]Variables!C3)</f>
        <v>1.3129670329670331</v>
      </c>
      <c r="N116" s="104" t="s">
        <v>5</v>
      </c>
      <c r="O116" s="75">
        <f>(IF(D116&lt;0,0,IF(D116&gt;1.8,4095,ROUND(((D116*4095)/1.8),0))))</f>
        <v>2987</v>
      </c>
      <c r="P116" s="2" t="s">
        <v>110</v>
      </c>
      <c r="Q116" s="13">
        <f>_xlfn.BITAND(O116,255)</f>
        <v>171</v>
      </c>
      <c r="R116" s="27" t="str">
        <f>IF(Q116&lt;16,CONCATENATE("0x0",(DEC2HEX(Q116))),CONCATENATE("0x",(DEC2HEX(Q116))))</f>
        <v>0xAB</v>
      </c>
      <c r="S116" s="5" t="str">
        <f>DEC2BIN(Q116,8)</f>
        <v>10101011</v>
      </c>
      <c r="T116" t="str">
        <f t="shared" si="3"/>
        <v xml:space="preserve">0xAB, </v>
      </c>
    </row>
    <row r="117" spans="3:20" x14ac:dyDescent="0.25">
      <c r="C117" t="s">
        <v>208</v>
      </c>
      <c r="D117" s="74"/>
      <c r="E117" s="74"/>
      <c r="F117" s="74"/>
      <c r="G117" s="74"/>
      <c r="H117" s="74"/>
      <c r="I117" s="74"/>
      <c r="J117" s="74"/>
      <c r="K117" s="74"/>
      <c r="L117" s="100"/>
      <c r="M117" s="75"/>
      <c r="N117" s="104"/>
      <c r="O117" s="75"/>
      <c r="P117" s="2"/>
      <c r="Q117" s="1"/>
      <c r="R117" s="6"/>
      <c r="S117" s="1"/>
    </row>
    <row r="118" spans="3:20" x14ac:dyDescent="0.25">
      <c r="D118" s="74"/>
      <c r="E118" s="74"/>
      <c r="F118" s="74"/>
      <c r="G118" s="74"/>
      <c r="H118" s="74"/>
      <c r="I118" s="74"/>
      <c r="J118" s="74"/>
      <c r="K118" s="74"/>
      <c r="L118" s="100"/>
      <c r="M118" s="75"/>
      <c r="N118" s="104"/>
      <c r="O118" s="75"/>
      <c r="P118" s="2" t="s">
        <v>111</v>
      </c>
      <c r="Q118" s="13">
        <f>((_xlfn.BITAND(O116,3840))/(2^8))</f>
        <v>11</v>
      </c>
      <c r="R118" s="27" t="str">
        <f>IF(Q118&lt;16,CONCATENATE("0x0",(DEC2HEX(Q118))),CONCATENATE("0x",(DEC2HEX(Q118))))</f>
        <v>0x0B</v>
      </c>
      <c r="S118" s="5" t="str">
        <f>DEC2BIN(Q118,8)</f>
        <v>00001011</v>
      </c>
      <c r="T118" t="str">
        <f t="shared" si="3"/>
        <v xml:space="preserve">0x0B, </v>
      </c>
    </row>
    <row r="119" spans="3:20" x14ac:dyDescent="0.25">
      <c r="D119" s="72" t="s">
        <v>112</v>
      </c>
      <c r="E119" s="72"/>
      <c r="F119" s="72"/>
      <c r="G119" s="72"/>
      <c r="H119" s="72"/>
      <c r="I119" s="72"/>
      <c r="J119" s="72"/>
      <c r="K119" s="72"/>
      <c r="L119" s="1"/>
      <c r="O119" s="9"/>
      <c r="P119" s="19"/>
      <c r="Q119" s="19"/>
      <c r="R119" s="2"/>
      <c r="S119" s="1"/>
    </row>
    <row r="120" spans="3:20" x14ac:dyDescent="0.25">
      <c r="D120" s="74">
        <f>0.6453*2</f>
        <v>1.2906</v>
      </c>
      <c r="E120" s="74"/>
      <c r="F120" s="74"/>
      <c r="G120" s="74"/>
      <c r="H120" s="74"/>
      <c r="I120" s="74"/>
      <c r="J120" s="74"/>
      <c r="K120" s="74"/>
      <c r="L120" s="100" t="s">
        <v>5</v>
      </c>
      <c r="M120" s="75">
        <f>(O120*[1]Variables!C1/[1]Variables!C3)</f>
        <v>1.2905494505494506</v>
      </c>
      <c r="N120" s="104" t="s">
        <v>5</v>
      </c>
      <c r="O120" s="75">
        <f>(IF(D120&lt;0,0,IF(D120&gt;1.8,4095,ROUND(((D120*4095)/1.8),0))))</f>
        <v>2936</v>
      </c>
      <c r="P120" s="2" t="s">
        <v>113</v>
      </c>
      <c r="Q120" s="13">
        <f>_xlfn.BITAND(O120,255)</f>
        <v>120</v>
      </c>
      <c r="R120" s="27" t="str">
        <f>IF(Q120&lt;16,CONCATENATE("0x0",(DEC2HEX(Q120))),CONCATENATE("0x",(DEC2HEX(Q120))))</f>
        <v>0x78</v>
      </c>
      <c r="S120" s="5" t="str">
        <f>DEC2BIN(Q120,8)</f>
        <v>01111000</v>
      </c>
      <c r="T120" t="str">
        <f t="shared" si="3"/>
        <v xml:space="preserve">0x78, </v>
      </c>
    </row>
    <row r="121" spans="3:20" x14ac:dyDescent="0.25">
      <c r="C121" t="s">
        <v>209</v>
      </c>
      <c r="D121" s="74"/>
      <c r="E121" s="74"/>
      <c r="F121" s="74"/>
      <c r="G121" s="74"/>
      <c r="H121" s="74"/>
      <c r="I121" s="74"/>
      <c r="J121" s="74"/>
      <c r="K121" s="74"/>
      <c r="L121" s="100"/>
      <c r="M121" s="75"/>
      <c r="N121" s="104"/>
      <c r="O121" s="75"/>
      <c r="P121" s="2"/>
      <c r="Q121" s="1"/>
      <c r="R121" s="6"/>
      <c r="S121" s="1"/>
    </row>
    <row r="122" spans="3:20" x14ac:dyDescent="0.25">
      <c r="D122" s="74"/>
      <c r="E122" s="74"/>
      <c r="F122" s="74"/>
      <c r="G122" s="74"/>
      <c r="H122" s="74"/>
      <c r="I122" s="74"/>
      <c r="J122" s="74"/>
      <c r="K122" s="74"/>
      <c r="L122" s="100"/>
      <c r="M122" s="75"/>
      <c r="N122" s="104"/>
      <c r="O122" s="75"/>
      <c r="P122" s="2" t="s">
        <v>114</v>
      </c>
      <c r="Q122" s="13">
        <f>((_xlfn.BITAND(O120,3840))/(2^8))</f>
        <v>11</v>
      </c>
      <c r="R122" s="27" t="str">
        <f>IF(Q122&lt;16,CONCATENATE("0x0",(DEC2HEX(Q122))),CONCATENATE("0x",(DEC2HEX(Q122))))</f>
        <v>0x0B</v>
      </c>
      <c r="S122" s="5" t="str">
        <f>DEC2BIN(Q122,8)</f>
        <v>00001011</v>
      </c>
      <c r="T122" t="str">
        <f t="shared" si="3"/>
        <v xml:space="preserve">0x0B, </v>
      </c>
    </row>
    <row r="123" spans="3:20" x14ac:dyDescent="0.25">
      <c r="D123" s="72" t="s">
        <v>115</v>
      </c>
      <c r="E123" s="72"/>
      <c r="F123" s="72"/>
      <c r="G123" s="72"/>
      <c r="H123" s="72"/>
      <c r="I123" s="72"/>
      <c r="J123" s="72"/>
      <c r="K123" s="72"/>
      <c r="L123" s="1"/>
      <c r="O123" s="9"/>
      <c r="P123" s="19"/>
      <c r="Q123" s="19"/>
      <c r="R123" s="2"/>
      <c r="S123" s="1"/>
    </row>
    <row r="124" spans="3:20" x14ac:dyDescent="0.25">
      <c r="D124" s="74">
        <f>0.2363*2</f>
        <v>0.47260000000000002</v>
      </c>
      <c r="E124" s="74"/>
      <c r="F124" s="74"/>
      <c r="G124" s="74"/>
      <c r="H124" s="74"/>
      <c r="I124" s="74"/>
      <c r="J124" s="74"/>
      <c r="K124" s="74"/>
      <c r="L124" s="100" t="s">
        <v>5</v>
      </c>
      <c r="M124" s="75">
        <f>(O124*[1]Variables!C1/[1]Variables!C3)</f>
        <v>0.47252747252747251</v>
      </c>
      <c r="N124" s="104" t="s">
        <v>5</v>
      </c>
      <c r="O124" s="75">
        <f>(IF(D124&lt;0,0,IF(D124&gt;1.8,4095,ROUND(((D124*4095)/1.8),0))))</f>
        <v>1075</v>
      </c>
      <c r="P124" s="2" t="s">
        <v>116</v>
      </c>
      <c r="Q124" s="13">
        <f>_xlfn.BITAND(O124,255)</f>
        <v>51</v>
      </c>
      <c r="R124" s="27" t="str">
        <f>IF(Q124&lt;16,CONCATENATE("0x0",(DEC2HEX(Q124))),CONCATENATE("0x",(DEC2HEX(Q124))))</f>
        <v>0x33</v>
      </c>
      <c r="S124" s="5" t="str">
        <f>DEC2BIN(Q124,8)</f>
        <v>00110011</v>
      </c>
      <c r="T124" t="str">
        <f t="shared" si="3"/>
        <v xml:space="preserve">0x33, </v>
      </c>
    </row>
    <row r="125" spans="3:20" x14ac:dyDescent="0.25">
      <c r="C125" t="s">
        <v>206</v>
      </c>
      <c r="D125" s="74"/>
      <c r="E125" s="74"/>
      <c r="F125" s="74"/>
      <c r="G125" s="74"/>
      <c r="H125" s="74"/>
      <c r="I125" s="74"/>
      <c r="J125" s="74"/>
      <c r="K125" s="74"/>
      <c r="L125" s="100"/>
      <c r="M125" s="75"/>
      <c r="N125" s="104"/>
      <c r="O125" s="75"/>
      <c r="P125" s="2"/>
      <c r="Q125" s="1"/>
      <c r="R125" s="6"/>
      <c r="S125" s="1"/>
    </row>
    <row r="126" spans="3:20" x14ac:dyDescent="0.25">
      <c r="D126" s="74"/>
      <c r="E126" s="74"/>
      <c r="F126" s="74"/>
      <c r="G126" s="74"/>
      <c r="H126" s="74"/>
      <c r="I126" s="74"/>
      <c r="J126" s="74"/>
      <c r="K126" s="74"/>
      <c r="L126" s="100"/>
      <c r="M126" s="75"/>
      <c r="N126" s="104"/>
      <c r="O126" s="75"/>
      <c r="P126" s="2" t="s">
        <v>117</v>
      </c>
      <c r="Q126" s="13">
        <f>((_xlfn.BITAND(O124,3840))/(2^8))</f>
        <v>4</v>
      </c>
      <c r="R126" s="27" t="str">
        <f>IF(Q126&lt;16,CONCATENATE("0x0",(DEC2HEX(Q126))),CONCATENATE("0x",(DEC2HEX(Q126))))</f>
        <v>0x04</v>
      </c>
      <c r="S126" s="5" t="str">
        <f>DEC2BIN(Q126,8)</f>
        <v>00000100</v>
      </c>
      <c r="T126" t="str">
        <f t="shared" si="3"/>
        <v xml:space="preserve">0x04, </v>
      </c>
    </row>
    <row r="127" spans="3:20" x14ac:dyDescent="0.25">
      <c r="D127" s="72" t="s">
        <v>118</v>
      </c>
      <c r="E127" s="72"/>
      <c r="F127" s="72"/>
      <c r="G127" s="72"/>
      <c r="H127" s="72"/>
      <c r="I127" s="72"/>
      <c r="J127" s="72"/>
      <c r="K127" s="72"/>
      <c r="L127" s="1"/>
      <c r="O127" s="9"/>
      <c r="P127" s="19"/>
      <c r="Q127" s="19"/>
      <c r="R127" s="2"/>
      <c r="S127" s="1"/>
    </row>
    <row r="128" spans="3:20" x14ac:dyDescent="0.25">
      <c r="D128" s="74">
        <f>0.2683*2</f>
        <v>0.53659999999999997</v>
      </c>
      <c r="E128" s="74"/>
      <c r="F128" s="74"/>
      <c r="G128" s="74"/>
      <c r="H128" s="74"/>
      <c r="I128" s="74"/>
      <c r="J128" s="74"/>
      <c r="K128" s="74"/>
      <c r="L128" s="100" t="s">
        <v>5</v>
      </c>
      <c r="M128" s="75">
        <f>(O128*[1]Variables!C1/[1]Variables!C3)</f>
        <v>0.53670329670329675</v>
      </c>
      <c r="N128" s="104" t="s">
        <v>5</v>
      </c>
      <c r="O128" s="75">
        <f>(IF(D128&lt;0,0,IF(D128&gt;1.8,4095,ROUND(((D128*4095)/1.8),0))))</f>
        <v>1221</v>
      </c>
      <c r="P128" s="2" t="s">
        <v>119</v>
      </c>
      <c r="Q128" s="13">
        <f>_xlfn.BITAND(O128,255)</f>
        <v>197</v>
      </c>
      <c r="R128" s="27" t="str">
        <f>IF(Q128&lt;16,CONCATENATE("0x0",(DEC2HEX(Q128))),CONCATENATE("0x",(DEC2HEX(Q128))))</f>
        <v>0xC5</v>
      </c>
      <c r="S128" s="5" t="str">
        <f>DEC2BIN(Q128,8)</f>
        <v>11000101</v>
      </c>
      <c r="T128" t="str">
        <f t="shared" si="3"/>
        <v xml:space="preserve">0xC5, </v>
      </c>
    </row>
    <row r="129" spans="3:20" x14ac:dyDescent="0.25">
      <c r="C129" t="s">
        <v>207</v>
      </c>
      <c r="D129" s="74"/>
      <c r="E129" s="74"/>
      <c r="F129" s="74"/>
      <c r="G129" s="74"/>
      <c r="H129" s="74"/>
      <c r="I129" s="74"/>
      <c r="J129" s="74"/>
      <c r="K129" s="74"/>
      <c r="L129" s="100"/>
      <c r="M129" s="75"/>
      <c r="N129" s="104"/>
      <c r="O129" s="75"/>
      <c r="P129" s="2"/>
      <c r="Q129" s="1"/>
      <c r="R129" s="6"/>
      <c r="S129" s="1"/>
    </row>
    <row r="130" spans="3:20" x14ac:dyDescent="0.25">
      <c r="D130" s="74"/>
      <c r="E130" s="74"/>
      <c r="F130" s="74"/>
      <c r="G130" s="74"/>
      <c r="H130" s="74"/>
      <c r="I130" s="74"/>
      <c r="J130" s="74"/>
      <c r="K130" s="74"/>
      <c r="L130" s="100"/>
      <c r="M130" s="75"/>
      <c r="N130" s="104"/>
      <c r="O130" s="75"/>
      <c r="P130" s="2" t="s">
        <v>120</v>
      </c>
      <c r="Q130" s="13">
        <f>((_xlfn.BITAND(O128,3840))/(2^8))</f>
        <v>4</v>
      </c>
      <c r="R130" s="27" t="str">
        <f>IF(Q130&lt;16,CONCATENATE("0x0",(DEC2HEX(Q130))),CONCATENATE("0x",(DEC2HEX(Q130))))</f>
        <v>0x04</v>
      </c>
      <c r="S130" s="5" t="str">
        <f>DEC2BIN(Q130,8)</f>
        <v>00000100</v>
      </c>
      <c r="T130" t="str">
        <f t="shared" si="3"/>
        <v xml:space="preserve">0x04, </v>
      </c>
    </row>
    <row r="131" spans="3:20" x14ac:dyDescent="0.25">
      <c r="D131" s="72" t="s">
        <v>123</v>
      </c>
      <c r="E131" s="72"/>
      <c r="F131" s="72"/>
      <c r="G131" s="72"/>
      <c r="H131" s="72"/>
      <c r="I131" s="72"/>
      <c r="J131" s="72"/>
      <c r="K131" s="72"/>
      <c r="L131" s="1"/>
      <c r="O131" s="9"/>
      <c r="P131" s="19"/>
      <c r="Q131" s="19"/>
      <c r="R131" s="2"/>
      <c r="S131" s="1"/>
    </row>
    <row r="132" spans="3:20" x14ac:dyDescent="0.25">
      <c r="D132" s="74">
        <f>0.6564*2</f>
        <v>1.3128</v>
      </c>
      <c r="E132" s="74"/>
      <c r="F132" s="74"/>
      <c r="G132" s="74"/>
      <c r="H132" s="74"/>
      <c r="I132" s="74"/>
      <c r="J132" s="74"/>
      <c r="K132" s="74"/>
      <c r="L132" s="100" t="s">
        <v>5</v>
      </c>
      <c r="M132" s="75">
        <f>(O132*[1]Variables!C1/[1]Variables!C3)</f>
        <v>1.3129670329670331</v>
      </c>
      <c r="N132" s="104" t="s">
        <v>5</v>
      </c>
      <c r="O132" s="75">
        <f>(IF(D132&lt;0,0,IF(D132&gt;1.8,4095,ROUND(((D132*4095)/1.8),0))))</f>
        <v>2987</v>
      </c>
      <c r="P132" s="2" t="s">
        <v>121</v>
      </c>
      <c r="Q132" s="13">
        <f>_xlfn.BITAND(O132,255)</f>
        <v>171</v>
      </c>
      <c r="R132" s="27" t="str">
        <f>IF(Q132&lt;16,CONCATENATE("0x0",(DEC2HEX(Q132))),CONCATENATE("0x",(DEC2HEX(Q132))))</f>
        <v>0xAB</v>
      </c>
      <c r="S132" s="5" t="str">
        <f>DEC2BIN(Q132,8)</f>
        <v>10101011</v>
      </c>
      <c r="T132" t="str">
        <f t="shared" si="3"/>
        <v xml:space="preserve">0xAB, </v>
      </c>
    </row>
    <row r="133" spans="3:20" x14ac:dyDescent="0.25">
      <c r="C133" t="s">
        <v>208</v>
      </c>
      <c r="D133" s="74"/>
      <c r="E133" s="74"/>
      <c r="F133" s="74"/>
      <c r="G133" s="74"/>
      <c r="H133" s="74"/>
      <c r="I133" s="74"/>
      <c r="J133" s="74"/>
      <c r="K133" s="74"/>
      <c r="L133" s="100"/>
      <c r="M133" s="75"/>
      <c r="N133" s="104"/>
      <c r="O133" s="75"/>
      <c r="P133" s="2"/>
      <c r="Q133" s="1"/>
      <c r="R133" s="6"/>
      <c r="S133" s="1"/>
    </row>
    <row r="134" spans="3:20" x14ac:dyDescent="0.25">
      <c r="D134" s="74"/>
      <c r="E134" s="74"/>
      <c r="F134" s="74"/>
      <c r="G134" s="74"/>
      <c r="H134" s="74"/>
      <c r="I134" s="74"/>
      <c r="J134" s="74"/>
      <c r="K134" s="74"/>
      <c r="L134" s="100"/>
      <c r="M134" s="75"/>
      <c r="N134" s="104"/>
      <c r="O134" s="75"/>
      <c r="P134" s="2" t="s">
        <v>122</v>
      </c>
      <c r="Q134" s="13">
        <f>((_xlfn.BITAND(O132,3840))/(2^8))</f>
        <v>11</v>
      </c>
      <c r="R134" s="27" t="str">
        <f>IF(Q134&lt;16,CONCATENATE("0x0",(DEC2HEX(Q134))),CONCATENATE("0x",(DEC2HEX(Q134))))</f>
        <v>0x0B</v>
      </c>
      <c r="S134" s="5" t="str">
        <f>DEC2BIN(Q134,8)</f>
        <v>00001011</v>
      </c>
      <c r="T134" t="str">
        <f t="shared" ref="T134:T169" si="4">_xlfn.CONCAT(R134, ", ")</f>
        <v xml:space="preserve">0x0B, </v>
      </c>
    </row>
    <row r="135" spans="3:20" x14ac:dyDescent="0.25">
      <c r="D135" s="72" t="s">
        <v>124</v>
      </c>
      <c r="E135" s="72"/>
      <c r="F135" s="72"/>
      <c r="G135" s="72"/>
      <c r="H135" s="72"/>
      <c r="I135" s="72"/>
      <c r="J135" s="72"/>
      <c r="K135" s="72"/>
      <c r="L135" s="1"/>
      <c r="O135" s="9"/>
      <c r="P135" s="19"/>
      <c r="Q135" s="19"/>
      <c r="R135" s="2"/>
      <c r="S135" s="1"/>
    </row>
    <row r="136" spans="3:20" x14ac:dyDescent="0.25">
      <c r="D136" s="74">
        <f>0.6453*2</f>
        <v>1.2906</v>
      </c>
      <c r="E136" s="74"/>
      <c r="F136" s="74"/>
      <c r="G136" s="74"/>
      <c r="H136" s="74"/>
      <c r="I136" s="74"/>
      <c r="J136" s="74"/>
      <c r="K136" s="74"/>
      <c r="L136" s="100" t="s">
        <v>5</v>
      </c>
      <c r="M136" s="75">
        <f>(O136*[1]Variables!C1/[1]Variables!C3)</f>
        <v>1.2905494505494506</v>
      </c>
      <c r="N136" s="104" t="s">
        <v>5</v>
      </c>
      <c r="O136" s="75">
        <f>(IF(D136&lt;0,0,IF(D136&gt;1.8,4095,ROUND(((D136*4095)/1.8),0))))</f>
        <v>2936</v>
      </c>
      <c r="P136" s="2" t="s">
        <v>125</v>
      </c>
      <c r="Q136" s="13">
        <f>_xlfn.BITAND(O136,255)</f>
        <v>120</v>
      </c>
      <c r="R136" s="27" t="str">
        <f>IF(Q136&lt;16,CONCATENATE("0x0",(DEC2HEX(Q136))),CONCATENATE("0x",(DEC2HEX(Q136))))</f>
        <v>0x78</v>
      </c>
      <c r="S136" s="5" t="str">
        <f>DEC2BIN(Q136,8)</f>
        <v>01111000</v>
      </c>
      <c r="T136" t="str">
        <f t="shared" si="4"/>
        <v xml:space="preserve">0x78, </v>
      </c>
    </row>
    <row r="137" spans="3:20" x14ac:dyDescent="0.25">
      <c r="C137" t="s">
        <v>209</v>
      </c>
      <c r="D137" s="74"/>
      <c r="E137" s="74"/>
      <c r="F137" s="74"/>
      <c r="G137" s="74"/>
      <c r="H137" s="74"/>
      <c r="I137" s="74"/>
      <c r="J137" s="74"/>
      <c r="K137" s="74"/>
      <c r="L137" s="100"/>
      <c r="M137" s="75"/>
      <c r="N137" s="104"/>
      <c r="O137" s="75"/>
      <c r="P137" s="2"/>
      <c r="Q137" s="1"/>
      <c r="R137" s="6"/>
      <c r="S137" s="1"/>
    </row>
    <row r="138" spans="3:20" x14ac:dyDescent="0.25">
      <c r="D138" s="74"/>
      <c r="E138" s="74"/>
      <c r="F138" s="74"/>
      <c r="G138" s="74"/>
      <c r="H138" s="74"/>
      <c r="I138" s="74"/>
      <c r="J138" s="74"/>
      <c r="K138" s="74"/>
      <c r="L138" s="100"/>
      <c r="M138" s="75"/>
      <c r="N138" s="104"/>
      <c r="O138" s="75"/>
      <c r="P138" s="2" t="s">
        <v>126</v>
      </c>
      <c r="Q138" s="13">
        <f>((_xlfn.BITAND(O136,3840))/(2^8))</f>
        <v>11</v>
      </c>
      <c r="R138" s="27" t="str">
        <f>IF(Q138&lt;16,CONCATENATE("0x0",(DEC2HEX(Q138))),CONCATENATE("0x",(DEC2HEX(Q138))))</f>
        <v>0x0B</v>
      </c>
      <c r="S138" s="5" t="str">
        <f>DEC2BIN(Q138,8)</f>
        <v>00001011</v>
      </c>
      <c r="T138" t="str">
        <f t="shared" si="4"/>
        <v xml:space="preserve">0x0B, </v>
      </c>
    </row>
    <row r="139" spans="3:20" x14ac:dyDescent="0.25">
      <c r="D139" s="72" t="s">
        <v>127</v>
      </c>
      <c r="E139" s="72"/>
      <c r="F139" s="72"/>
      <c r="G139" s="72"/>
      <c r="H139" s="72"/>
      <c r="I139" s="72"/>
      <c r="J139" s="72"/>
      <c r="K139" s="72"/>
      <c r="L139" s="1"/>
      <c r="O139" s="9"/>
      <c r="P139" s="19"/>
      <c r="Q139" s="19"/>
      <c r="R139" s="2"/>
      <c r="S139" s="1"/>
    </row>
    <row r="140" spans="3:20" x14ac:dyDescent="0.25">
      <c r="D140" s="58">
        <v>0.71912100000000001</v>
      </c>
      <c r="E140" s="59"/>
      <c r="F140" s="59"/>
      <c r="G140" s="59"/>
      <c r="H140" s="59"/>
      <c r="I140" s="59"/>
      <c r="J140" s="59"/>
      <c r="K140" s="60"/>
      <c r="L140" s="100" t="s">
        <v>5</v>
      </c>
      <c r="M140" s="75">
        <f>(O140*[1]Variables!C1/[1]Variables!C3)</f>
        <v>0.71912087912087919</v>
      </c>
      <c r="N140" s="104" t="s">
        <v>5</v>
      </c>
      <c r="O140" s="75">
        <f>(IF(D140&lt;0,0,IF(D140&gt;1.8,4095,ROUND(((D140*4095)/1.8),0))))</f>
        <v>1636</v>
      </c>
      <c r="P140" s="2" t="s">
        <v>128</v>
      </c>
      <c r="Q140" s="13">
        <f>_xlfn.BITAND(O140,255)</f>
        <v>100</v>
      </c>
      <c r="R140" s="27" t="str">
        <f>IF(Q140&lt;16,CONCATENATE("0x0",(DEC2HEX(Q140))),CONCATENATE("0x",(DEC2HEX(Q140))))</f>
        <v>0x64</v>
      </c>
      <c r="S140" s="5" t="str">
        <f>DEC2BIN(Q140,8)</f>
        <v>01100100</v>
      </c>
      <c r="T140" t="str">
        <f t="shared" si="4"/>
        <v xml:space="preserve">0x64, </v>
      </c>
    </row>
    <row r="141" spans="3:20" x14ac:dyDescent="0.25">
      <c r="D141" s="82"/>
      <c r="E141" s="83"/>
      <c r="F141" s="83"/>
      <c r="G141" s="83"/>
      <c r="H141" s="83"/>
      <c r="I141" s="83"/>
      <c r="J141" s="83"/>
      <c r="K141" s="84"/>
      <c r="L141" s="100"/>
      <c r="M141" s="75"/>
      <c r="N141" s="104"/>
      <c r="O141" s="75"/>
      <c r="P141" s="2"/>
      <c r="Q141" s="1"/>
      <c r="R141" s="6"/>
      <c r="S141" s="1"/>
    </row>
    <row r="142" spans="3:20" x14ac:dyDescent="0.25">
      <c r="D142" s="61"/>
      <c r="E142" s="62"/>
      <c r="F142" s="62"/>
      <c r="G142" s="62"/>
      <c r="H142" s="62"/>
      <c r="I142" s="62"/>
      <c r="J142" s="62"/>
      <c r="K142" s="63"/>
      <c r="L142" s="100"/>
      <c r="M142" s="75"/>
      <c r="N142" s="104"/>
      <c r="O142" s="75"/>
      <c r="P142" s="2" t="s">
        <v>129</v>
      </c>
      <c r="Q142" s="13">
        <f>((_xlfn.BITAND(O140,3840))/(2^8))</f>
        <v>6</v>
      </c>
      <c r="R142" s="27" t="str">
        <f>IF(Q142&lt;16,CONCATENATE("0x0",(DEC2HEX(Q142))),CONCATENATE("0x",(DEC2HEX(Q142))))</f>
        <v>0x06</v>
      </c>
      <c r="S142" s="5" t="str">
        <f>DEC2BIN(Q142,8)</f>
        <v>00000110</v>
      </c>
      <c r="T142" t="str">
        <f t="shared" si="4"/>
        <v xml:space="preserve">0x06, </v>
      </c>
    </row>
    <row r="143" spans="3:20" x14ac:dyDescent="0.25">
      <c r="D143" s="72" t="s">
        <v>130</v>
      </c>
      <c r="E143" s="72"/>
      <c r="F143" s="72"/>
      <c r="G143" s="72"/>
      <c r="H143" s="72"/>
      <c r="I143" s="72"/>
      <c r="J143" s="72"/>
      <c r="K143" s="72"/>
      <c r="L143" s="1"/>
      <c r="O143" s="9"/>
      <c r="P143" s="19"/>
      <c r="Q143" s="19"/>
      <c r="R143" s="2"/>
      <c r="S143" s="1"/>
    </row>
    <row r="144" spans="3:20" x14ac:dyDescent="0.25">
      <c r="D144" s="74">
        <v>0.68219799999999997</v>
      </c>
      <c r="E144" s="74"/>
      <c r="F144" s="74"/>
      <c r="G144" s="74"/>
      <c r="H144" s="74"/>
      <c r="I144" s="74"/>
      <c r="J144" s="74"/>
      <c r="K144" s="74"/>
      <c r="L144" s="100" t="s">
        <v>5</v>
      </c>
      <c r="M144" s="75">
        <f>(O144*[1]Variables!C1/[1]Variables!C3)</f>
        <v>0.68219780219780213</v>
      </c>
      <c r="N144" s="104" t="s">
        <v>5</v>
      </c>
      <c r="O144" s="75">
        <f>(IF(D144&lt;0,0,IF(D144&gt;1.8,4095,ROUND(((D144*4095)/1.8),0))))</f>
        <v>1552</v>
      </c>
      <c r="P144" s="2" t="s">
        <v>131</v>
      </c>
      <c r="Q144" s="13">
        <f>_xlfn.BITAND(O144,255)</f>
        <v>16</v>
      </c>
      <c r="R144" s="27" t="str">
        <f>IF(Q144&lt;16,CONCATENATE("0x0",(DEC2HEX(Q144))),CONCATENATE("0x",(DEC2HEX(Q144))))</f>
        <v>0x10</v>
      </c>
      <c r="S144" s="5" t="str">
        <f>DEC2BIN(Q144,8)</f>
        <v>00010000</v>
      </c>
      <c r="T144" t="str">
        <f t="shared" si="4"/>
        <v xml:space="preserve">0x10, </v>
      </c>
    </row>
    <row r="145" spans="2:20" x14ac:dyDescent="0.25">
      <c r="D145" s="74"/>
      <c r="E145" s="74"/>
      <c r="F145" s="74"/>
      <c r="G145" s="74"/>
      <c r="H145" s="74"/>
      <c r="I145" s="74"/>
      <c r="J145" s="74"/>
      <c r="K145" s="74"/>
      <c r="L145" s="100"/>
      <c r="M145" s="75"/>
      <c r="N145" s="104"/>
      <c r="O145" s="75"/>
      <c r="P145" s="2"/>
      <c r="Q145" s="1"/>
      <c r="R145" s="6"/>
      <c r="S145" s="1"/>
    </row>
    <row r="146" spans="2:20" x14ac:dyDescent="0.25">
      <c r="D146" s="74"/>
      <c r="E146" s="74"/>
      <c r="F146" s="74"/>
      <c r="G146" s="74"/>
      <c r="H146" s="74"/>
      <c r="I146" s="74"/>
      <c r="J146" s="74"/>
      <c r="K146" s="74"/>
      <c r="L146" s="100"/>
      <c r="M146" s="75"/>
      <c r="N146" s="104"/>
      <c r="O146" s="75"/>
      <c r="P146" s="2" t="s">
        <v>132</v>
      </c>
      <c r="Q146" s="13">
        <f>((_xlfn.BITAND(O144,3840))/(2^8))</f>
        <v>6</v>
      </c>
      <c r="R146" s="27" t="str">
        <f>IF(Q146&lt;16,CONCATENATE("0x0",(DEC2HEX(Q146))),CONCATENATE("0x",(DEC2HEX(Q146))))</f>
        <v>0x06</v>
      </c>
      <c r="S146" s="5" t="str">
        <f>DEC2BIN(Q146,8)</f>
        <v>00000110</v>
      </c>
      <c r="T146" t="str">
        <f t="shared" si="4"/>
        <v xml:space="preserve">0x06, </v>
      </c>
    </row>
    <row r="147" spans="2:20" x14ac:dyDescent="0.25">
      <c r="D147" s="56" t="s">
        <v>135</v>
      </c>
      <c r="E147" s="56"/>
      <c r="F147" s="56"/>
      <c r="G147" s="56"/>
      <c r="H147" s="56"/>
      <c r="I147" s="56"/>
      <c r="J147" s="56"/>
      <c r="K147" s="56"/>
      <c r="L147" s="1"/>
      <c r="O147" s="1"/>
      <c r="P147" s="2"/>
      <c r="Q147" s="2"/>
      <c r="R147" s="2"/>
      <c r="S147" s="1"/>
    </row>
    <row r="148" spans="2:20" x14ac:dyDescent="0.25">
      <c r="D148" s="74">
        <v>2.7</v>
      </c>
      <c r="E148" s="74"/>
      <c r="F148" s="74"/>
      <c r="G148" s="74"/>
      <c r="H148" s="74"/>
      <c r="I148" s="74"/>
      <c r="J148" s="74"/>
      <c r="K148" s="74"/>
      <c r="L148" s="100" t="s">
        <v>5</v>
      </c>
      <c r="M148" s="75">
        <f>(O148*[1]Variables!C1/[1]Variables!C3)*[1]Variables!C2</f>
        <v>2.6994871794871829</v>
      </c>
      <c r="N148" s="72" t="s">
        <v>5</v>
      </c>
      <c r="O148" s="75">
        <f>(IF(D148&lt;0,0,IF(D148&gt;4.8,4095,ROUND((D148/[1]Variables!F3),0))))</f>
        <v>2303</v>
      </c>
      <c r="P148" s="20" t="s">
        <v>133</v>
      </c>
      <c r="Q148" s="13">
        <f>_xlfn.BITAND(O148,255)</f>
        <v>255</v>
      </c>
      <c r="R148" s="13" t="str">
        <f>IF(Q148&lt;16,CONCATENATE("0x0",(DEC2HEX(Q148))),CONCATENATE("0x",(DEC2HEX(Q148))))</f>
        <v>0xFF</v>
      </c>
      <c r="S148" s="5" t="str">
        <f>DEC2BIN(Q148,8)</f>
        <v>11111111</v>
      </c>
      <c r="T148" t="str">
        <f t="shared" si="4"/>
        <v xml:space="preserve">0xFF, </v>
      </c>
    </row>
    <row r="149" spans="2:20" x14ac:dyDescent="0.25">
      <c r="C149">
        <f>7*D148</f>
        <v>18.900000000000002</v>
      </c>
      <c r="D149" s="74"/>
      <c r="E149" s="74"/>
      <c r="F149" s="74"/>
      <c r="G149" s="74"/>
      <c r="H149" s="74"/>
      <c r="I149" s="74"/>
      <c r="J149" s="74"/>
      <c r="K149" s="74"/>
      <c r="L149" s="100"/>
      <c r="M149" s="75"/>
      <c r="N149" s="72"/>
      <c r="O149" s="75"/>
      <c r="P149" s="2"/>
      <c r="Q149" s="2"/>
      <c r="R149" s="2"/>
      <c r="S149" s="1"/>
    </row>
    <row r="150" spans="2:20" x14ac:dyDescent="0.25">
      <c r="D150" s="74"/>
      <c r="E150" s="74"/>
      <c r="F150" s="74"/>
      <c r="G150" s="74"/>
      <c r="H150" s="74"/>
      <c r="I150" s="74"/>
      <c r="J150" s="74"/>
      <c r="K150" s="74"/>
      <c r="L150" s="100"/>
      <c r="M150" s="75"/>
      <c r="N150" s="72"/>
      <c r="O150" s="75"/>
      <c r="P150" s="2" t="s">
        <v>134</v>
      </c>
      <c r="Q150" s="13">
        <f>((_xlfn.BITAND(O148,3840))/(2^8))</f>
        <v>8</v>
      </c>
      <c r="R150" s="13" t="str">
        <f>IF(Q150&lt;16,CONCATENATE("0x0",(DEC2HEX(Q150))),CONCATENATE("0x",(DEC2HEX(Q150))))</f>
        <v>0x08</v>
      </c>
      <c r="S150" s="5" t="str">
        <f>DEC2BIN(Q150,8)</f>
        <v>00001000</v>
      </c>
      <c r="T150" t="str">
        <f t="shared" si="4"/>
        <v xml:space="preserve">0x08, </v>
      </c>
    </row>
    <row r="151" spans="2:20" x14ac:dyDescent="0.25">
      <c r="D151" s="56" t="s">
        <v>136</v>
      </c>
      <c r="E151" s="56"/>
      <c r="F151" s="56"/>
      <c r="G151" s="56"/>
      <c r="H151" s="56"/>
      <c r="I151" s="56"/>
      <c r="J151" s="56"/>
      <c r="K151" s="56"/>
      <c r="L151" s="11"/>
      <c r="O151" s="11"/>
      <c r="P151" s="24"/>
      <c r="Q151" s="2"/>
      <c r="R151" s="2"/>
      <c r="S151" s="1"/>
    </row>
    <row r="152" spans="2:20" x14ac:dyDescent="0.25">
      <c r="B152" s="39"/>
      <c r="D152" s="71">
        <v>1</v>
      </c>
      <c r="E152" s="71"/>
      <c r="F152" s="71"/>
      <c r="G152" s="71"/>
      <c r="H152" s="71"/>
      <c r="I152" s="71"/>
      <c r="J152" s="71"/>
      <c r="K152" s="71"/>
      <c r="L152" s="16"/>
      <c r="M152" s="22">
        <f>IF(D152&lt;0, "0", IF(D152 &gt; 1024, "1024",ROUND(D152,0)))</f>
        <v>1</v>
      </c>
      <c r="N152" s="22" t="str">
        <f>M155</f>
        <v>min</v>
      </c>
      <c r="O152" s="22">
        <f>M152</f>
        <v>1</v>
      </c>
      <c r="P152" s="2"/>
      <c r="Q152" s="2"/>
      <c r="R152" s="2"/>
      <c r="S152" s="1"/>
    </row>
    <row r="153" spans="2:20" x14ac:dyDescent="0.25">
      <c r="D153" s="85" t="s">
        <v>137</v>
      </c>
      <c r="E153" s="86"/>
      <c r="F153" s="86"/>
      <c r="G153" s="86"/>
      <c r="H153" s="86"/>
      <c r="I153" s="86"/>
      <c r="J153" s="86"/>
      <c r="K153" s="87"/>
      <c r="L153" s="11"/>
      <c r="O153" s="11"/>
      <c r="P153" s="2" t="s">
        <v>140</v>
      </c>
      <c r="Q153" s="13">
        <f>_xlfn.BITAND(O152,255)</f>
        <v>1</v>
      </c>
      <c r="R153" s="13" t="str">
        <f>IF(Q153&lt;16,CONCATENATE("0x0",(DEC2HEX(Q153))),CONCATENATE("0x",(DEC2HEX(Q153))))</f>
        <v>0x01</v>
      </c>
      <c r="S153" s="5" t="str">
        <f>DEC2BIN(Q153,8)</f>
        <v>00000001</v>
      </c>
      <c r="T153" t="str">
        <f t="shared" si="4"/>
        <v xml:space="preserve">0x01, </v>
      </c>
    </row>
    <row r="154" spans="2:20" x14ac:dyDescent="0.25">
      <c r="D154" s="85" t="s">
        <v>138</v>
      </c>
      <c r="E154" s="86"/>
      <c r="F154" s="86"/>
      <c r="G154" s="87"/>
      <c r="H154" s="85" t="s">
        <v>139</v>
      </c>
      <c r="I154" s="86"/>
      <c r="J154" s="86"/>
      <c r="K154" s="87"/>
      <c r="L154" s="11"/>
      <c r="O154" s="11"/>
      <c r="P154" s="2"/>
      <c r="Q154" s="2"/>
      <c r="R154" s="2"/>
      <c r="S154" s="1"/>
    </row>
    <row r="155" spans="2:20" x14ac:dyDescent="0.25">
      <c r="D155" s="74">
        <v>1</v>
      </c>
      <c r="E155" s="74"/>
      <c r="F155" s="74"/>
      <c r="G155" s="74"/>
      <c r="H155" s="74">
        <v>1</v>
      </c>
      <c r="I155" s="74"/>
      <c r="J155" s="74"/>
      <c r="K155" s="74"/>
      <c r="L155" s="16"/>
      <c r="M155" s="22" t="str">
        <f>IF(((D155*2 +H155) = 3),"min",IF((D155*2+H155 = 2), "s",IF((D155*2+H155=1),"ms","us")))</f>
        <v>min</v>
      </c>
      <c r="N155" s="16"/>
      <c r="O155" s="22">
        <f>IF(M155="min",3,IF(M155="s",2,IF(M155="ms",1,0)))</f>
        <v>3</v>
      </c>
      <c r="P155" s="16"/>
      <c r="Q155" s="16"/>
      <c r="R155" s="16"/>
      <c r="S155" s="1"/>
    </row>
    <row r="156" spans="2:20" x14ac:dyDescent="0.25">
      <c r="D156" s="56" t="s">
        <v>141</v>
      </c>
      <c r="E156" s="56"/>
      <c r="F156" s="56"/>
      <c r="G156" s="56"/>
      <c r="H156" s="56"/>
      <c r="I156" s="56"/>
      <c r="J156" s="56"/>
      <c r="K156" s="56"/>
      <c r="L156" s="10"/>
      <c r="O156" s="10"/>
      <c r="P156" s="19" t="s">
        <v>142</v>
      </c>
      <c r="Q156" s="32">
        <f>(O157*8)+(O155*2)+((_xlfn.BITAND(O152,256))/(2^8))</f>
        <v>30</v>
      </c>
      <c r="R156" s="32" t="str">
        <f>IF(Q156&lt;16,CONCATENATE("0x0",(DEC2HEX(Q156))),CONCATENATE("0x",(DEC2HEX(Q156))))</f>
        <v>0x1E</v>
      </c>
      <c r="S156" s="5" t="str">
        <f>DEC2BIN(Q156,8)</f>
        <v>00011110</v>
      </c>
      <c r="T156" t="str">
        <f t="shared" si="4"/>
        <v xml:space="preserve">0x1E, </v>
      </c>
    </row>
    <row r="157" spans="2:20" x14ac:dyDescent="0.25">
      <c r="D157" s="29"/>
      <c r="E157" s="29"/>
      <c r="F157" s="29"/>
      <c r="G157" s="33">
        <v>0</v>
      </c>
      <c r="H157" s="30">
        <v>0</v>
      </c>
      <c r="I157" s="30">
        <v>0</v>
      </c>
      <c r="J157" s="30">
        <v>1</v>
      </c>
      <c r="K157" s="30">
        <v>1</v>
      </c>
      <c r="L157" s="2"/>
      <c r="M157" s="22">
        <f>BIN2DEC(CONCATENATE(G157,H157,I157,J157,K157))</f>
        <v>3</v>
      </c>
      <c r="N157" s="16" t="s">
        <v>143</v>
      </c>
      <c r="O157" s="22">
        <f>M157</f>
        <v>3</v>
      </c>
      <c r="P157" s="16"/>
      <c r="Q157" s="31"/>
      <c r="R157" s="16"/>
      <c r="S157" s="16"/>
    </row>
    <row r="158" spans="2:20" x14ac:dyDescent="0.25">
      <c r="D158" s="85" t="s">
        <v>184</v>
      </c>
      <c r="E158" s="86"/>
      <c r="F158" s="86"/>
      <c r="G158" s="86"/>
      <c r="H158" s="86"/>
      <c r="I158" s="86"/>
      <c r="J158" s="86"/>
      <c r="K158" s="87"/>
      <c r="L158" s="10"/>
      <c r="O158" s="10"/>
      <c r="P158" s="25"/>
      <c r="Q158" s="19"/>
      <c r="R158" s="19"/>
      <c r="S158" s="9"/>
    </row>
    <row r="159" spans="2:20" x14ac:dyDescent="0.25">
      <c r="D159" s="53">
        <v>0</v>
      </c>
      <c r="E159" s="55"/>
      <c r="F159" s="53">
        <v>0</v>
      </c>
      <c r="G159" s="55"/>
      <c r="H159" s="53">
        <v>1</v>
      </c>
      <c r="I159" s="55"/>
      <c r="J159" s="53">
        <v>1</v>
      </c>
      <c r="K159" s="55"/>
      <c r="L159" s="2"/>
      <c r="M159" s="34">
        <f>BIN2DEC(CONCATENATE(D159,F159,H159,J159))</f>
        <v>3</v>
      </c>
      <c r="N159" s="2" t="s">
        <v>145</v>
      </c>
      <c r="O159" s="13">
        <f>M159</f>
        <v>3</v>
      </c>
      <c r="P159" s="2"/>
      <c r="Q159" s="2"/>
      <c r="R159" s="2"/>
      <c r="S159" s="2"/>
    </row>
    <row r="160" spans="2:20" x14ac:dyDescent="0.25">
      <c r="D160" s="85" t="s">
        <v>144</v>
      </c>
      <c r="E160" s="86"/>
      <c r="F160" s="86"/>
      <c r="G160" s="86"/>
      <c r="H160" s="86"/>
      <c r="I160" s="86"/>
      <c r="J160" s="86"/>
      <c r="K160" s="87"/>
      <c r="L160" s="10"/>
      <c r="O160" s="10"/>
      <c r="P160" s="25" t="s">
        <v>146</v>
      </c>
      <c r="Q160" s="32">
        <f>(O161*16)+(O159)</f>
        <v>243</v>
      </c>
      <c r="R160" s="32" t="str">
        <f>IF(Q160&lt;16,CONCATENATE("0x0",(DEC2HEX(Q160))),CONCATENATE("0x",(DEC2HEX(Q160))))</f>
        <v>0xF3</v>
      </c>
      <c r="S160" s="5" t="str">
        <f>DEC2BIN(Q160,8)</f>
        <v>11110011</v>
      </c>
      <c r="T160" t="str">
        <f t="shared" si="4"/>
        <v xml:space="preserve">0xF3, </v>
      </c>
    </row>
    <row r="161" spans="2:20" x14ac:dyDescent="0.25">
      <c r="D161" s="53">
        <v>1</v>
      </c>
      <c r="E161" s="55"/>
      <c r="F161" s="53">
        <v>1</v>
      </c>
      <c r="G161" s="55"/>
      <c r="H161" s="53">
        <v>1</v>
      </c>
      <c r="I161" s="55"/>
      <c r="J161" s="53">
        <v>1</v>
      </c>
      <c r="K161" s="55"/>
      <c r="L161" s="2"/>
      <c r="M161" s="34">
        <f>16*(BIN2DEC(CONCATENATE(D161,F161,H161,J161)))</f>
        <v>240</v>
      </c>
      <c r="N161" s="2" t="s">
        <v>145</v>
      </c>
      <c r="O161" s="34">
        <f>BIN2DEC(CONCATENATE(D161,F161,H161,J161))</f>
        <v>15</v>
      </c>
      <c r="P161" s="2"/>
      <c r="Q161" s="2"/>
      <c r="R161" s="2"/>
      <c r="S161" s="2"/>
    </row>
    <row r="162" spans="2:20" x14ac:dyDescent="0.25">
      <c r="D162" s="56" t="s">
        <v>147</v>
      </c>
      <c r="E162" s="56"/>
      <c r="F162" s="56"/>
      <c r="G162" s="56"/>
      <c r="H162" s="56"/>
      <c r="I162" s="56"/>
      <c r="J162" s="56"/>
      <c r="K162" s="56"/>
      <c r="L162" s="1"/>
      <c r="O162" s="10"/>
      <c r="P162" s="25"/>
      <c r="Q162" s="19"/>
      <c r="R162" s="2"/>
      <c r="S162" s="1"/>
    </row>
    <row r="163" spans="2:20" x14ac:dyDescent="0.25">
      <c r="D163" s="71" t="s">
        <v>152</v>
      </c>
      <c r="E163" s="71"/>
      <c r="F163" s="71"/>
      <c r="G163" s="71"/>
      <c r="H163" s="71"/>
      <c r="I163" s="71"/>
      <c r="J163" s="71"/>
      <c r="K163" s="71"/>
      <c r="L163" s="16"/>
      <c r="M163" s="16"/>
      <c r="N163" s="16"/>
      <c r="O163" s="22" t="str">
        <f>IF(D163="3 Cells","131",IF(D163="4 Cells","195",IF(D163="5 Cells","199",IF(D163="6 Cells","231",IF(D163="7 Cells","239",IF(D163="8 Cells","255"))))))</f>
        <v>239</v>
      </c>
      <c r="P163" s="16" t="s">
        <v>154</v>
      </c>
      <c r="Q163" s="22" t="str">
        <f>O163</f>
        <v>239</v>
      </c>
      <c r="R163" s="13" t="str">
        <f>IF(Q163&lt;16,CONCATENATE("0x0",(DEC2HEX(Q163))),CONCATENATE("0x",(DEC2HEX(Q163))))</f>
        <v>0xEF</v>
      </c>
      <c r="S163" s="5" t="str">
        <f>DEC2BIN(Q163,8)</f>
        <v>11101111</v>
      </c>
      <c r="T163" t="str">
        <f t="shared" si="4"/>
        <v xml:space="preserve">0xEF, </v>
      </c>
    </row>
    <row r="164" spans="2:20" x14ac:dyDescent="0.25">
      <c r="D164" s="2" t="s">
        <v>155</v>
      </c>
      <c r="E164" s="2" t="s">
        <v>156</v>
      </c>
      <c r="F164" s="2" t="s">
        <v>157</v>
      </c>
      <c r="G164" s="2" t="s">
        <v>158</v>
      </c>
      <c r="H164" s="2" t="s">
        <v>159</v>
      </c>
      <c r="I164" s="2" t="s">
        <v>160</v>
      </c>
      <c r="J164" s="2" t="s">
        <v>161</v>
      </c>
      <c r="K164" s="2" t="s">
        <v>162</v>
      </c>
      <c r="L164" s="1"/>
      <c r="O164" s="1"/>
      <c r="P164" s="2"/>
      <c r="Q164" s="2"/>
      <c r="R164" s="2"/>
      <c r="S164" s="1"/>
    </row>
    <row r="165" spans="2:20" x14ac:dyDescent="0.25">
      <c r="D165" s="13" t="s">
        <v>163</v>
      </c>
      <c r="E165" s="13" t="str">
        <f>IF(D163 = "3 Cells", "Disabled", "Enabled")</f>
        <v>Enabled</v>
      </c>
      <c r="F165" s="13" t="str">
        <f>IF(OR(D163 = "3 Cells",  D163 = "4 Cells", D163="5 Cells"), "Disabled", "Enabled")</f>
        <v>Enabled</v>
      </c>
      <c r="G165" s="13" t="str">
        <f>IF(OR(D163 = "3 Cells",  D163 = "4 Cells", D163="5 Cells", D163 = "6 Cells", D163 = "7 Cells"), "Disabled", "Enabled")</f>
        <v>Disabled</v>
      </c>
      <c r="H165" s="13" t="str">
        <f>IF(OR(D163 = "3 Cells",  D163 = "4 Cells", D163="5 Cells", D163 = "6 Cells"), "Disabled", "Enabled")</f>
        <v>Enabled</v>
      </c>
      <c r="I165" s="13" t="str">
        <f>IF(OR(D163 = "3 Cells",  D163 = "4 Cells"), "Disabled", "Enabled")</f>
        <v>Enabled</v>
      </c>
      <c r="J165" s="13" t="s">
        <v>163</v>
      </c>
      <c r="K165" s="13" t="s">
        <v>163</v>
      </c>
      <c r="L165" s="9"/>
      <c r="O165" s="1"/>
      <c r="P165" s="2"/>
      <c r="Q165" s="2"/>
      <c r="R165" s="2"/>
      <c r="S165" s="1"/>
    </row>
    <row r="166" spans="2:20" x14ac:dyDescent="0.25">
      <c r="D166" s="85" t="s">
        <v>171</v>
      </c>
      <c r="E166" s="86"/>
      <c r="F166" s="86"/>
      <c r="G166" s="86"/>
      <c r="H166" s="86"/>
      <c r="I166" s="86"/>
      <c r="J166" s="86"/>
      <c r="K166" s="87"/>
      <c r="L166" s="9"/>
      <c r="O166" s="1"/>
      <c r="P166" s="2"/>
      <c r="Q166" s="2"/>
      <c r="R166" s="2"/>
      <c r="S166" s="1"/>
    </row>
    <row r="167" spans="2:20" x14ac:dyDescent="0.25">
      <c r="D167" s="64" t="s">
        <v>164</v>
      </c>
      <c r="E167" s="64" t="s">
        <v>55</v>
      </c>
      <c r="F167" s="64" t="s">
        <v>165</v>
      </c>
      <c r="G167" s="64" t="s">
        <v>166</v>
      </c>
      <c r="H167" s="64" t="s">
        <v>55</v>
      </c>
      <c r="I167" s="64" t="s">
        <v>167</v>
      </c>
      <c r="J167" s="64" t="s">
        <v>168</v>
      </c>
      <c r="K167" s="105" t="s">
        <v>169</v>
      </c>
      <c r="L167" s="72"/>
      <c r="M167" s="35"/>
      <c r="N167" s="35"/>
      <c r="O167" s="72"/>
      <c r="P167" s="72"/>
      <c r="Q167" s="72"/>
      <c r="R167" s="72"/>
      <c r="S167" s="72"/>
    </row>
    <row r="168" spans="2:20" x14ac:dyDescent="0.25">
      <c r="D168" s="65"/>
      <c r="E168" s="65"/>
      <c r="F168" s="65"/>
      <c r="G168" s="65"/>
      <c r="H168" s="65"/>
      <c r="I168" s="65"/>
      <c r="J168" s="65"/>
      <c r="K168" s="106"/>
      <c r="L168" s="64"/>
      <c r="M168" s="35"/>
      <c r="N168" s="35"/>
      <c r="O168" s="64"/>
      <c r="P168" s="64"/>
      <c r="Q168" s="64"/>
      <c r="R168" s="64"/>
      <c r="S168" s="64"/>
    </row>
    <row r="169" spans="2:20" x14ac:dyDescent="0.25">
      <c r="B169" s="38"/>
      <c r="D169" s="12">
        <v>1</v>
      </c>
      <c r="E169" s="36"/>
      <c r="F169" s="12">
        <v>1</v>
      </c>
      <c r="G169" s="12">
        <v>0</v>
      </c>
      <c r="H169" s="36"/>
      <c r="I169" s="12">
        <v>0</v>
      </c>
      <c r="J169" s="12">
        <v>0</v>
      </c>
      <c r="K169" s="12">
        <v>0</v>
      </c>
      <c r="L169" s="2"/>
      <c r="M169" s="13" t="str">
        <f>CONCATENATE(D169,"0",F169,G169,"0",I169,J169,K169)</f>
        <v>10100000</v>
      </c>
      <c r="N169" s="2"/>
      <c r="O169" s="13">
        <f>BIN2DEC(M169)</f>
        <v>160</v>
      </c>
      <c r="P169" s="2" t="s">
        <v>170</v>
      </c>
      <c r="Q169" s="13">
        <f>O169</f>
        <v>160</v>
      </c>
      <c r="R169" s="13" t="str">
        <f>IF(Q169&lt;16,CONCATENATE("0x0",(DEC2HEX(Q169))),CONCATENATE("0x",(DEC2HEX(Q169))))</f>
        <v>0xA0</v>
      </c>
      <c r="S169" s="5" t="str">
        <f>DEC2BIN(Q169,8)</f>
        <v>10100000</v>
      </c>
      <c r="T169" t="str">
        <f t="shared" si="4"/>
        <v xml:space="preserve">0xA0, </v>
      </c>
    </row>
    <row r="170" spans="2:20" x14ac:dyDescent="0.25">
      <c r="D170" s="85" t="s">
        <v>200</v>
      </c>
      <c r="E170" s="86"/>
      <c r="F170" s="86"/>
      <c r="G170" s="86"/>
      <c r="H170" s="86"/>
      <c r="I170" s="86"/>
      <c r="J170" s="86"/>
      <c r="K170" s="87"/>
      <c r="L170" s="2"/>
      <c r="M170" s="3"/>
      <c r="N170" s="3"/>
      <c r="O170" s="13"/>
      <c r="P170" s="2"/>
      <c r="Q170" s="13"/>
      <c r="R170" s="13"/>
      <c r="S170" s="5"/>
    </row>
    <row r="171" spans="2:20" x14ac:dyDescent="0.25">
      <c r="D171" s="64" t="s">
        <v>173</v>
      </c>
      <c r="E171" s="64" t="s">
        <v>174</v>
      </c>
      <c r="F171" s="64" t="s">
        <v>175</v>
      </c>
      <c r="G171" s="64" t="s">
        <v>176</v>
      </c>
      <c r="H171" s="64" t="s">
        <v>177</v>
      </c>
      <c r="I171" s="64" t="s">
        <v>55</v>
      </c>
      <c r="J171" s="64" t="s">
        <v>55</v>
      </c>
      <c r="K171" s="105" t="s">
        <v>178</v>
      </c>
      <c r="L171" s="72"/>
      <c r="M171" s="35"/>
      <c r="N171" s="35"/>
      <c r="O171" s="72"/>
      <c r="P171" s="72"/>
      <c r="Q171" s="72"/>
      <c r="R171" s="72"/>
      <c r="S171" s="72"/>
    </row>
    <row r="172" spans="2:20" x14ac:dyDescent="0.25">
      <c r="D172" s="65"/>
      <c r="E172" s="65"/>
      <c r="F172" s="65"/>
      <c r="G172" s="65"/>
      <c r="H172" s="65"/>
      <c r="I172" s="65"/>
      <c r="J172" s="65"/>
      <c r="K172" s="106"/>
      <c r="L172" s="64"/>
      <c r="M172" s="35"/>
      <c r="N172" s="35"/>
      <c r="O172" s="64"/>
      <c r="P172" s="64"/>
      <c r="Q172" s="64"/>
      <c r="R172" s="64"/>
      <c r="S172" s="64"/>
    </row>
    <row r="173" spans="2:20" x14ac:dyDescent="0.25">
      <c r="B173" s="38"/>
      <c r="D173" s="12">
        <v>1</v>
      </c>
      <c r="E173" s="12">
        <v>1</v>
      </c>
      <c r="F173" s="12">
        <v>0</v>
      </c>
      <c r="G173" s="12">
        <v>0</v>
      </c>
      <c r="H173" s="12">
        <v>0</v>
      </c>
      <c r="I173" s="36">
        <v>0</v>
      </c>
      <c r="J173" s="36">
        <v>0</v>
      </c>
      <c r="K173" s="12">
        <v>1</v>
      </c>
      <c r="L173" s="2"/>
      <c r="M173" s="34" t="str">
        <f>CONCATENATE(D173,E173,F173,G173,H173,"0","0",K173)</f>
        <v>11000001</v>
      </c>
      <c r="N173" s="2"/>
      <c r="O173" s="13">
        <f>BIN2DEC(M173)</f>
        <v>193</v>
      </c>
      <c r="P173" s="2" t="s">
        <v>172</v>
      </c>
      <c r="Q173" s="13">
        <f>O173</f>
        <v>193</v>
      </c>
      <c r="R173" s="13" t="str">
        <f>IF(Q173&lt;16,CONCATENATE("0x0",(DEC2HEX(Q173))),CONCATENATE("0x",(DEC2HEX(Q173))))</f>
        <v>0xC1</v>
      </c>
      <c r="S173" s="5" t="str">
        <f>DEC2BIN(Q173,8)</f>
        <v>11000001</v>
      </c>
      <c r="T173" t="str">
        <f>_xlfn.CONCAT(R173, " ")</f>
        <v xml:space="preserve">0xC1 </v>
      </c>
    </row>
  </sheetData>
  <mergeCells count="272">
    <mergeCell ref="U3:W3"/>
    <mergeCell ref="U5:W6"/>
    <mergeCell ref="U7:W7"/>
    <mergeCell ref="L171:L172"/>
    <mergeCell ref="O171:O172"/>
    <mergeCell ref="P171:P172"/>
    <mergeCell ref="Q171:Q172"/>
    <mergeCell ref="R171:R172"/>
    <mergeCell ref="S171:S172"/>
    <mergeCell ref="D170:K170"/>
    <mergeCell ref="D171:D172"/>
    <mergeCell ref="E171:E172"/>
    <mergeCell ref="F171:F172"/>
    <mergeCell ref="G171:G172"/>
    <mergeCell ref="H171:H172"/>
    <mergeCell ref="I171:I172"/>
    <mergeCell ref="J171:J172"/>
    <mergeCell ref="K171:K172"/>
    <mergeCell ref="L167:L168"/>
    <mergeCell ref="O167:O168"/>
    <mergeCell ref="P167:P168"/>
    <mergeCell ref="Q167:Q168"/>
    <mergeCell ref="R167:R168"/>
    <mergeCell ref="S167:S168"/>
    <mergeCell ref="D163:K163"/>
    <mergeCell ref="D166:K166"/>
    <mergeCell ref="D167:D168"/>
    <mergeCell ref="E167:E168"/>
    <mergeCell ref="F167:F168"/>
    <mergeCell ref="G167:G168"/>
    <mergeCell ref="H167:H168"/>
    <mergeCell ref="I167:I168"/>
    <mergeCell ref="J167:J168"/>
    <mergeCell ref="K167:K168"/>
    <mergeCell ref="D160:K160"/>
    <mergeCell ref="D161:E161"/>
    <mergeCell ref="F161:G161"/>
    <mergeCell ref="H161:I161"/>
    <mergeCell ref="J161:K161"/>
    <mergeCell ref="D162:K162"/>
    <mergeCell ref="D156:K156"/>
    <mergeCell ref="D158:K158"/>
    <mergeCell ref="D159:E159"/>
    <mergeCell ref="F159:G159"/>
    <mergeCell ref="H159:I159"/>
    <mergeCell ref="J159:K159"/>
    <mergeCell ref="D151:K151"/>
    <mergeCell ref="D152:K152"/>
    <mergeCell ref="D153:K153"/>
    <mergeCell ref="D154:G154"/>
    <mergeCell ref="H154:K154"/>
    <mergeCell ref="D155:G155"/>
    <mergeCell ref="H155:K155"/>
    <mergeCell ref="D147:K147"/>
    <mergeCell ref="D148:K150"/>
    <mergeCell ref="L148:L150"/>
    <mergeCell ref="M148:M150"/>
    <mergeCell ref="N148:N150"/>
    <mergeCell ref="O148:O150"/>
    <mergeCell ref="D143:K143"/>
    <mergeCell ref="D144:K146"/>
    <mergeCell ref="L144:L146"/>
    <mergeCell ref="M144:M146"/>
    <mergeCell ref="N144:N146"/>
    <mergeCell ref="O144:O146"/>
    <mergeCell ref="D139:K139"/>
    <mergeCell ref="D140:K142"/>
    <mergeCell ref="L140:L142"/>
    <mergeCell ref="M140:M142"/>
    <mergeCell ref="N140:N142"/>
    <mergeCell ref="O140:O142"/>
    <mergeCell ref="D135:K135"/>
    <mergeCell ref="D136:K138"/>
    <mergeCell ref="L136:L138"/>
    <mergeCell ref="M136:M138"/>
    <mergeCell ref="N136:N138"/>
    <mergeCell ref="O136:O138"/>
    <mergeCell ref="D131:K131"/>
    <mergeCell ref="D132:K134"/>
    <mergeCell ref="L132:L134"/>
    <mergeCell ref="M132:M134"/>
    <mergeCell ref="N132:N134"/>
    <mergeCell ref="O132:O134"/>
    <mergeCell ref="D127:K127"/>
    <mergeCell ref="D128:K130"/>
    <mergeCell ref="L128:L130"/>
    <mergeCell ref="M128:M130"/>
    <mergeCell ref="N128:N130"/>
    <mergeCell ref="O128:O130"/>
    <mergeCell ref="D123:K123"/>
    <mergeCell ref="D124:K126"/>
    <mergeCell ref="L124:L126"/>
    <mergeCell ref="M124:M126"/>
    <mergeCell ref="N124:N126"/>
    <mergeCell ref="O124:O126"/>
    <mergeCell ref="D119:K119"/>
    <mergeCell ref="D120:K122"/>
    <mergeCell ref="L120:L122"/>
    <mergeCell ref="M120:M122"/>
    <mergeCell ref="N120:N122"/>
    <mergeCell ref="O120:O122"/>
    <mergeCell ref="D115:K115"/>
    <mergeCell ref="D116:K118"/>
    <mergeCell ref="L116:L118"/>
    <mergeCell ref="M116:M118"/>
    <mergeCell ref="N116:N118"/>
    <mergeCell ref="O116:O118"/>
    <mergeCell ref="D111:K111"/>
    <mergeCell ref="D112:K114"/>
    <mergeCell ref="L112:L114"/>
    <mergeCell ref="M112:M114"/>
    <mergeCell ref="N112:N114"/>
    <mergeCell ref="O112:O114"/>
    <mergeCell ref="D107:K107"/>
    <mergeCell ref="D108:K110"/>
    <mergeCell ref="L108:L110"/>
    <mergeCell ref="M108:M110"/>
    <mergeCell ref="N108:N110"/>
    <mergeCell ref="O108:O110"/>
    <mergeCell ref="D103:K103"/>
    <mergeCell ref="D104:K106"/>
    <mergeCell ref="L104:L106"/>
    <mergeCell ref="M104:M106"/>
    <mergeCell ref="N104:N106"/>
    <mergeCell ref="O104:O106"/>
    <mergeCell ref="D99:K99"/>
    <mergeCell ref="D100:K102"/>
    <mergeCell ref="L100:L102"/>
    <mergeCell ref="M100:M102"/>
    <mergeCell ref="N100:N102"/>
    <mergeCell ref="O100:O102"/>
    <mergeCell ref="D95:K95"/>
    <mergeCell ref="D96:K98"/>
    <mergeCell ref="L96:L98"/>
    <mergeCell ref="M96:M98"/>
    <mergeCell ref="N96:N98"/>
    <mergeCell ref="O96:O98"/>
    <mergeCell ref="D91:K91"/>
    <mergeCell ref="D92:K94"/>
    <mergeCell ref="L92:L94"/>
    <mergeCell ref="M92:M94"/>
    <mergeCell ref="N92:N94"/>
    <mergeCell ref="O92:O94"/>
    <mergeCell ref="D86:K86"/>
    <mergeCell ref="D87:K87"/>
    <mergeCell ref="D88:K88"/>
    <mergeCell ref="D89:G89"/>
    <mergeCell ref="H89:K89"/>
    <mergeCell ref="D90:G90"/>
    <mergeCell ref="H90:K90"/>
    <mergeCell ref="D81:K81"/>
    <mergeCell ref="D82:K82"/>
    <mergeCell ref="D83:K83"/>
    <mergeCell ref="D84:G84"/>
    <mergeCell ref="H84:K84"/>
    <mergeCell ref="D85:G85"/>
    <mergeCell ref="H85:K85"/>
    <mergeCell ref="D77:K77"/>
    <mergeCell ref="D78:K80"/>
    <mergeCell ref="L78:L80"/>
    <mergeCell ref="M78:M80"/>
    <mergeCell ref="N78:N80"/>
    <mergeCell ref="O78:O80"/>
    <mergeCell ref="D73:K73"/>
    <mergeCell ref="D74:K76"/>
    <mergeCell ref="L74:L76"/>
    <mergeCell ref="M74:M76"/>
    <mergeCell ref="N74:N76"/>
    <mergeCell ref="O74:O76"/>
    <mergeCell ref="O66:O68"/>
    <mergeCell ref="D69:K69"/>
    <mergeCell ref="D70:K72"/>
    <mergeCell ref="L70:L72"/>
    <mergeCell ref="M70:M72"/>
    <mergeCell ref="N70:N72"/>
    <mergeCell ref="O70:O72"/>
    <mergeCell ref="D64:F64"/>
    <mergeCell ref="D65:K65"/>
    <mergeCell ref="D66:K68"/>
    <mergeCell ref="L66:L68"/>
    <mergeCell ref="M66:M68"/>
    <mergeCell ref="N66:N68"/>
    <mergeCell ref="D60:K60"/>
    <mergeCell ref="D61:K61"/>
    <mergeCell ref="D62:K62"/>
    <mergeCell ref="D63:F63"/>
    <mergeCell ref="G63:I63"/>
    <mergeCell ref="J63:K63"/>
    <mergeCell ref="D56:K56"/>
    <mergeCell ref="D57:K57"/>
    <mergeCell ref="D58:F58"/>
    <mergeCell ref="G58:I58"/>
    <mergeCell ref="J58:K58"/>
    <mergeCell ref="D59:F59"/>
    <mergeCell ref="D52:K52"/>
    <mergeCell ref="D53:F53"/>
    <mergeCell ref="G53:I53"/>
    <mergeCell ref="J53:K53"/>
    <mergeCell ref="D54:F54"/>
    <mergeCell ref="D55:K55"/>
    <mergeCell ref="D46:K46"/>
    <mergeCell ref="D47:K47"/>
    <mergeCell ref="D48:K48"/>
    <mergeCell ref="D49:K49"/>
    <mergeCell ref="D50:K50"/>
    <mergeCell ref="D51:K51"/>
    <mergeCell ref="D41:K41"/>
    <mergeCell ref="D42:K42"/>
    <mergeCell ref="D43:K43"/>
    <mergeCell ref="D44:G44"/>
    <mergeCell ref="H44:K44"/>
    <mergeCell ref="D45:G45"/>
    <mergeCell ref="H45:K45"/>
    <mergeCell ref="D36:K36"/>
    <mergeCell ref="D37:K37"/>
    <mergeCell ref="D38:K38"/>
    <mergeCell ref="D39:G39"/>
    <mergeCell ref="H39:K39"/>
    <mergeCell ref="D40:G40"/>
    <mergeCell ref="H40:K40"/>
    <mergeCell ref="D32:K32"/>
    <mergeCell ref="D33:K35"/>
    <mergeCell ref="L33:L35"/>
    <mergeCell ref="M33:M35"/>
    <mergeCell ref="N33:N35"/>
    <mergeCell ref="O33:O35"/>
    <mergeCell ref="D28:K28"/>
    <mergeCell ref="D29:K31"/>
    <mergeCell ref="L29:L31"/>
    <mergeCell ref="M29:M31"/>
    <mergeCell ref="N29:N31"/>
    <mergeCell ref="O29:O31"/>
    <mergeCell ref="D24:K24"/>
    <mergeCell ref="D25:K27"/>
    <mergeCell ref="L25:L27"/>
    <mergeCell ref="M25:M27"/>
    <mergeCell ref="N25:N27"/>
    <mergeCell ref="O25:O27"/>
    <mergeCell ref="O17:O19"/>
    <mergeCell ref="D20:K20"/>
    <mergeCell ref="D21:K23"/>
    <mergeCell ref="L21:L23"/>
    <mergeCell ref="M21:M23"/>
    <mergeCell ref="N21:N23"/>
    <mergeCell ref="O21:O23"/>
    <mergeCell ref="D15:K15"/>
    <mergeCell ref="D16:K16"/>
    <mergeCell ref="D17:K19"/>
    <mergeCell ref="L17:L19"/>
    <mergeCell ref="M17:M19"/>
    <mergeCell ref="N17:N19"/>
    <mergeCell ref="M10:M11"/>
    <mergeCell ref="N10:N11"/>
    <mergeCell ref="O10:O11"/>
    <mergeCell ref="D12:K12"/>
    <mergeCell ref="D13:K13"/>
    <mergeCell ref="D14:K14"/>
    <mergeCell ref="D8:K8"/>
    <mergeCell ref="D9:K9"/>
    <mergeCell ref="D10:K11"/>
    <mergeCell ref="L10:L11"/>
    <mergeCell ref="R3:R4"/>
    <mergeCell ref="S3:S4"/>
    <mergeCell ref="D5:K5"/>
    <mergeCell ref="D6:K6"/>
    <mergeCell ref="D7:K7"/>
    <mergeCell ref="D3:K4"/>
    <mergeCell ref="L3:L4"/>
    <mergeCell ref="M3:N4"/>
    <mergeCell ref="O3:O4"/>
    <mergeCell ref="P3:P4"/>
    <mergeCell ref="Q3:Q4"/>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8</xdr:col>
                <xdr:colOff>600075</xdr:colOff>
                <xdr:row>176</xdr:row>
                <xdr:rowOff>104775</xdr:rowOff>
              </from>
              <to>
                <xdr:col>12</xdr:col>
                <xdr:colOff>333375</xdr:colOff>
                <xdr:row>180</xdr:row>
                <xdr:rowOff>114300</xdr:rowOff>
              </to>
            </anchor>
          </controlPr>
        </control>
      </mc:Choice>
      <mc:Fallback>
        <control shapeId="27649" r:id="rId4" name="btnGenerate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5" activePane="bottomLeft" state="frozen"/>
      <selection pane="bottomLeft" activeCell="C46" sqref="C46"/>
    </sheetView>
  </sheetViews>
  <sheetFormatPr defaultRowHeight="15" x14ac:dyDescent="0.25"/>
  <cols>
    <col min="2" max="3" width="10.5703125" customWidth="1"/>
    <col min="16" max="16" width="9.42578125" customWidth="1"/>
  </cols>
  <sheetData>
    <row r="3" spans="1:20" x14ac:dyDescent="0.25">
      <c r="E3" s="72" t="s">
        <v>9</v>
      </c>
      <c r="F3" s="72"/>
      <c r="G3" s="72"/>
      <c r="H3" s="72"/>
      <c r="I3" s="72"/>
      <c r="J3" s="72"/>
      <c r="K3" s="72"/>
      <c r="L3" s="72"/>
      <c r="M3" s="64" t="s">
        <v>10</v>
      </c>
      <c r="N3" s="72" t="s">
        <v>30</v>
      </c>
      <c r="O3" s="72"/>
      <c r="P3" s="66" t="s">
        <v>11</v>
      </c>
      <c r="Q3" s="66" t="s">
        <v>14</v>
      </c>
      <c r="R3" s="66" t="s">
        <v>11</v>
      </c>
      <c r="S3" s="66" t="s">
        <v>12</v>
      </c>
      <c r="T3" s="67" t="s">
        <v>88</v>
      </c>
    </row>
    <row r="4" spans="1:20" x14ac:dyDescent="0.25">
      <c r="E4" s="72"/>
      <c r="F4" s="72"/>
      <c r="G4" s="72"/>
      <c r="H4" s="72"/>
      <c r="I4" s="72"/>
      <c r="J4" s="72"/>
      <c r="K4" s="72"/>
      <c r="L4" s="72"/>
      <c r="M4" s="65"/>
      <c r="N4" s="72"/>
      <c r="O4" s="72"/>
      <c r="P4" s="66"/>
      <c r="Q4" s="66"/>
      <c r="R4" s="66"/>
      <c r="S4" s="66"/>
      <c r="T4" s="67"/>
    </row>
    <row r="5" spans="1:20" ht="15.75" thickBot="1" x14ac:dyDescent="0.3">
      <c r="E5" s="56" t="s">
        <v>16</v>
      </c>
      <c r="F5" s="56"/>
      <c r="G5" s="56"/>
      <c r="H5" s="56"/>
      <c r="I5" s="56"/>
      <c r="J5" s="56"/>
      <c r="K5" s="56"/>
      <c r="L5" s="56"/>
      <c r="N5" s="4"/>
      <c r="O5" s="7"/>
      <c r="P5" s="9"/>
      <c r="Q5" s="2" t="s">
        <v>15</v>
      </c>
      <c r="R5" s="13">
        <f>_xlfn.BITAND(P6,255)</f>
        <v>8</v>
      </c>
      <c r="S5" s="13" t="str">
        <f>IF(R5&lt;16,CONCATENATE("0x0",(DEC2HEX(R5))),CONCATENATE("0x",(DEC2HEX(R5))))</f>
        <v>0x08</v>
      </c>
      <c r="T5" s="5" t="str">
        <f>DEC2BIN(R5,8)</f>
        <v>00001000</v>
      </c>
    </row>
    <row r="6" spans="1:20" ht="15.75" thickBot="1" x14ac:dyDescent="0.3">
      <c r="A6" s="68" t="s">
        <v>199</v>
      </c>
      <c r="B6" s="69"/>
      <c r="C6" s="70"/>
      <c r="E6" s="71">
        <v>4.21</v>
      </c>
      <c r="F6" s="71"/>
      <c r="G6" s="71"/>
      <c r="H6" s="71"/>
      <c r="I6" s="71"/>
      <c r="J6" s="71"/>
      <c r="K6" s="71"/>
      <c r="L6" s="71"/>
      <c r="M6" s="18" t="s">
        <v>5</v>
      </c>
      <c r="N6" s="5">
        <f>(P6*Variables!C1/Variables!C3)*Variables!C2</f>
        <v>4.2104029304029362</v>
      </c>
      <c r="O6" s="2" t="s">
        <v>5</v>
      </c>
      <c r="P6" s="5">
        <f>(IF(E6&lt;0,0,IF(E6&gt;4.8,4095,ROUND((E6/Variables!F3),0))))</f>
        <v>3592</v>
      </c>
      <c r="Q6" s="25"/>
      <c r="R6" s="25"/>
      <c r="S6" s="2"/>
      <c r="T6" s="1"/>
    </row>
    <row r="7" spans="1:20" ht="15.75" thickBot="1" x14ac:dyDescent="0.3">
      <c r="E7" s="56" t="s">
        <v>0</v>
      </c>
      <c r="F7" s="56"/>
      <c r="G7" s="56"/>
      <c r="H7" s="56"/>
      <c r="I7" s="56"/>
      <c r="J7" s="56"/>
      <c r="K7" s="56"/>
      <c r="L7" s="56"/>
      <c r="N7" s="4"/>
      <c r="O7" s="8"/>
      <c r="P7" s="10"/>
      <c r="Q7" s="2" t="s">
        <v>13</v>
      </c>
      <c r="R7" s="13">
        <f>(P8*2^4)+((_xlfn.BITAND(P6,3840))/(2^8))</f>
        <v>30</v>
      </c>
      <c r="S7" s="13" t="str">
        <f>IF(R7&lt;16,CONCATENATE("0x0",(DEC2HEX(R7))),CONCATENATE("0x",(DEC2HEX(R7))))</f>
        <v>0x1E</v>
      </c>
      <c r="T7" s="5" t="str">
        <f>DEC2BIN(R7,8)</f>
        <v>00011110</v>
      </c>
    </row>
    <row r="8" spans="1:20" x14ac:dyDescent="0.25">
      <c r="A8" s="47" t="s">
        <v>198</v>
      </c>
      <c r="B8" s="48"/>
      <c r="C8" s="49"/>
      <c r="E8" s="53">
        <v>1</v>
      </c>
      <c r="F8" s="54"/>
      <c r="G8" s="54"/>
      <c r="H8" s="54"/>
      <c r="I8" s="54"/>
      <c r="J8" s="54"/>
      <c r="K8" s="54"/>
      <c r="L8" s="55"/>
      <c r="M8" s="18" t="s">
        <v>4</v>
      </c>
      <c r="N8" s="5">
        <f>(IF(E8&lt;0,0,IF(E8&gt;15,15,ROUND(E8,0))))</f>
        <v>1</v>
      </c>
      <c r="O8" s="16" t="s">
        <v>4</v>
      </c>
      <c r="P8" s="5">
        <f>N8</f>
        <v>1</v>
      </c>
      <c r="Q8" s="25"/>
      <c r="R8" s="25"/>
      <c r="S8" s="2"/>
      <c r="T8" s="1"/>
    </row>
    <row r="9" spans="1:20" ht="15.75" thickBot="1" x14ac:dyDescent="0.3">
      <c r="A9" s="50"/>
      <c r="B9" s="51"/>
      <c r="C9" s="52"/>
      <c r="E9" s="56" t="s">
        <v>17</v>
      </c>
      <c r="F9" s="56"/>
      <c r="G9" s="56"/>
      <c r="H9" s="56"/>
      <c r="I9" s="56"/>
      <c r="J9" s="56"/>
      <c r="K9" s="56"/>
      <c r="L9" s="56"/>
      <c r="M9" s="1"/>
      <c r="P9" s="1"/>
      <c r="Q9" s="2" t="s">
        <v>18</v>
      </c>
      <c r="R9" s="13">
        <f>_xlfn.BITAND(P10,255)</f>
        <v>238</v>
      </c>
      <c r="S9" s="13" t="str">
        <f>IF(R9&lt;16,CONCATENATE("0x0",(DEC2HEX(R9))),CONCATENATE("0x",(DEC2HEX(R9))))</f>
        <v>0xEE</v>
      </c>
      <c r="T9" s="5" t="str">
        <f>DEC2BIN(R9,8)</f>
        <v>11101110</v>
      </c>
    </row>
    <row r="10" spans="1:20" x14ac:dyDescent="0.25">
      <c r="A10" s="57" t="s">
        <v>197</v>
      </c>
      <c r="B10" s="57"/>
      <c r="C10" s="57"/>
      <c r="E10" s="58">
        <v>4.18</v>
      </c>
      <c r="F10" s="59"/>
      <c r="G10" s="59"/>
      <c r="H10" s="59"/>
      <c r="I10" s="59"/>
      <c r="J10" s="59"/>
      <c r="K10" s="59"/>
      <c r="L10" s="60"/>
      <c r="M10" s="64" t="s">
        <v>5</v>
      </c>
      <c r="N10" s="75">
        <f>(P10*Variables!C1/Variables!C3)*Variables!C2</f>
        <v>4.1799267399267448</v>
      </c>
      <c r="O10" s="76" t="s">
        <v>5</v>
      </c>
      <c r="P10" s="78">
        <f>(IF(E10&lt;0,0,IF(E10&gt;4.8,4095,ROUND((E10/Variables!F3),0))))</f>
        <v>3566</v>
      </c>
      <c r="Q10" s="2"/>
      <c r="R10" s="3"/>
      <c r="S10" s="2"/>
      <c r="T10" s="1"/>
    </row>
    <row r="11" spans="1:20" x14ac:dyDescent="0.25">
      <c r="E11" s="61"/>
      <c r="F11" s="62"/>
      <c r="G11" s="62"/>
      <c r="H11" s="62"/>
      <c r="I11" s="62"/>
      <c r="J11" s="62"/>
      <c r="K11" s="62"/>
      <c r="L11" s="63"/>
      <c r="M11" s="65"/>
      <c r="N11" s="75"/>
      <c r="O11" s="77"/>
      <c r="P11" s="79"/>
      <c r="Q11" s="2" t="s">
        <v>19</v>
      </c>
      <c r="R11" s="13">
        <f>((_xlfn.BITAND(P10,3840))/(2^8))</f>
        <v>13</v>
      </c>
      <c r="S11" s="13" t="str">
        <f>IF(R11&lt;16,CONCATENATE("0x0",(DEC2HEX(R11))),CONCATENATE("0x",(DEC2HEX(R11))))</f>
        <v>0x0D</v>
      </c>
      <c r="T11" s="5" t="str">
        <f>DEC2BIN(R11,8)</f>
        <v>00001101</v>
      </c>
    </row>
    <row r="12" spans="1:20" x14ac:dyDescent="0.25">
      <c r="E12" s="56" t="s">
        <v>20</v>
      </c>
      <c r="F12" s="56"/>
      <c r="G12" s="56"/>
      <c r="H12" s="56"/>
      <c r="I12" s="56"/>
      <c r="J12" s="56"/>
      <c r="K12" s="56"/>
      <c r="L12" s="56"/>
      <c r="M12" s="4"/>
      <c r="N12" s="14"/>
      <c r="O12" s="6"/>
      <c r="P12" s="14"/>
      <c r="Q12" s="2"/>
      <c r="R12" s="3"/>
      <c r="S12" s="2"/>
      <c r="T12" s="1"/>
    </row>
    <row r="13" spans="1:20" x14ac:dyDescent="0.25">
      <c r="E13" s="71">
        <v>2.6</v>
      </c>
      <c r="F13" s="71"/>
      <c r="G13" s="71"/>
      <c r="H13" s="71"/>
      <c r="I13" s="71"/>
      <c r="J13" s="71"/>
      <c r="K13" s="71"/>
      <c r="L13" s="71"/>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3" t="s">
        <v>23</v>
      </c>
      <c r="F14" s="73"/>
      <c r="G14" s="73"/>
      <c r="H14" s="73"/>
      <c r="I14" s="73"/>
      <c r="J14" s="73"/>
      <c r="K14" s="73"/>
      <c r="L14" s="73"/>
      <c r="M14" s="1"/>
      <c r="N14" s="15"/>
      <c r="P14" s="14"/>
      <c r="Q14" s="2"/>
      <c r="R14" s="2"/>
      <c r="S14" s="2"/>
      <c r="T14" s="1"/>
    </row>
    <row r="15" spans="1:20" x14ac:dyDescent="0.25">
      <c r="E15" s="71">
        <v>1</v>
      </c>
      <c r="F15" s="71"/>
      <c r="G15" s="71"/>
      <c r="H15" s="71"/>
      <c r="I15" s="71"/>
      <c r="J15" s="71"/>
      <c r="K15" s="71"/>
      <c r="L15" s="71"/>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73" t="s">
        <v>24</v>
      </c>
      <c r="F16" s="73"/>
      <c r="G16" s="73"/>
      <c r="H16" s="73"/>
      <c r="I16" s="73"/>
      <c r="J16" s="73"/>
      <c r="K16" s="73"/>
      <c r="L16" s="73"/>
      <c r="M16" s="2"/>
      <c r="P16" s="14"/>
      <c r="Q16" s="3"/>
      <c r="R16" s="2"/>
      <c r="S16" s="2"/>
      <c r="T16" s="1"/>
    </row>
    <row r="17" spans="5:20" x14ac:dyDescent="0.25">
      <c r="E17" s="74">
        <v>2.8</v>
      </c>
      <c r="F17" s="74"/>
      <c r="G17" s="74"/>
      <c r="H17" s="74"/>
      <c r="I17" s="74"/>
      <c r="J17" s="74"/>
      <c r="K17" s="74"/>
      <c r="L17" s="74"/>
      <c r="M17" s="72" t="s">
        <v>5</v>
      </c>
      <c r="N17" s="75">
        <f>(P17*Variables!C1/Variables!C3)*Variables!C2</f>
        <v>2.8002930402930435</v>
      </c>
      <c r="O17" s="72" t="s">
        <v>5</v>
      </c>
      <c r="P17" s="75">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4"/>
      <c r="F18" s="74"/>
      <c r="G18" s="74"/>
      <c r="H18" s="74"/>
      <c r="I18" s="74"/>
      <c r="J18" s="74"/>
      <c r="K18" s="74"/>
      <c r="L18" s="74"/>
      <c r="M18" s="72"/>
      <c r="N18" s="75"/>
      <c r="O18" s="72"/>
      <c r="P18" s="75"/>
      <c r="Q18" s="2"/>
      <c r="R18" s="2"/>
      <c r="S18" s="2"/>
      <c r="T18" s="1"/>
    </row>
    <row r="19" spans="5:20" x14ac:dyDescent="0.25">
      <c r="E19" s="74"/>
      <c r="F19" s="74"/>
      <c r="G19" s="74"/>
      <c r="H19" s="74"/>
      <c r="I19" s="74"/>
      <c r="J19" s="74"/>
      <c r="K19" s="74"/>
      <c r="L19" s="74"/>
      <c r="M19" s="72"/>
      <c r="N19" s="75"/>
      <c r="O19" s="72"/>
      <c r="P19" s="75"/>
      <c r="Q19" s="2" t="s">
        <v>26</v>
      </c>
      <c r="R19" s="13">
        <f>((_xlfn.BITAND(P17,3840))/(2^8))</f>
        <v>9</v>
      </c>
      <c r="S19" s="13" t="str">
        <f>IF(R19&lt;16,CONCATENATE("0x0",(DEC2HEX(R19))),CONCATENATE("0x",(DEC2HEX(R19))))</f>
        <v>0x09</v>
      </c>
      <c r="T19" s="5" t="str">
        <f>DEC2BIN(R19,8)</f>
        <v>00001001</v>
      </c>
    </row>
    <row r="20" spans="5:20" x14ac:dyDescent="0.25">
      <c r="E20" s="56" t="s">
        <v>27</v>
      </c>
      <c r="F20" s="56"/>
      <c r="G20" s="56"/>
      <c r="H20" s="56"/>
      <c r="I20" s="56"/>
      <c r="J20" s="56"/>
      <c r="K20" s="56"/>
      <c r="L20" s="56"/>
      <c r="M20" s="1"/>
      <c r="P20" s="1"/>
      <c r="Q20" s="3"/>
      <c r="R20" s="2"/>
      <c r="S20" s="2"/>
      <c r="T20" s="1"/>
    </row>
    <row r="21" spans="5:20" x14ac:dyDescent="0.25">
      <c r="E21" s="74">
        <v>4.3</v>
      </c>
      <c r="F21" s="74"/>
      <c r="G21" s="74"/>
      <c r="H21" s="74"/>
      <c r="I21" s="74"/>
      <c r="J21" s="74"/>
      <c r="K21" s="74"/>
      <c r="L21" s="74"/>
      <c r="M21" s="72" t="s">
        <v>5</v>
      </c>
      <c r="N21" s="78">
        <f>(P21*Variables!C1/Variables!C3)*Variables!C2</f>
        <v>4.2994871794871852</v>
      </c>
      <c r="O21" s="72" t="s">
        <v>5</v>
      </c>
      <c r="P21" s="75">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4"/>
      <c r="F22" s="74"/>
      <c r="G22" s="74"/>
      <c r="H22" s="74"/>
      <c r="I22" s="74"/>
      <c r="J22" s="74"/>
      <c r="K22" s="74"/>
      <c r="L22" s="74"/>
      <c r="M22" s="72"/>
      <c r="N22" s="81"/>
      <c r="O22" s="72"/>
      <c r="P22" s="75"/>
      <c r="Q22" s="2"/>
      <c r="R22" s="2"/>
      <c r="S22" s="2"/>
      <c r="T22" s="1"/>
    </row>
    <row r="23" spans="5:20" x14ac:dyDescent="0.25">
      <c r="E23" s="74"/>
      <c r="F23" s="74"/>
      <c r="G23" s="74"/>
      <c r="H23" s="74"/>
      <c r="I23" s="74"/>
      <c r="J23" s="74"/>
      <c r="K23" s="74"/>
      <c r="L23" s="74"/>
      <c r="M23" s="72"/>
      <c r="N23" s="79"/>
      <c r="O23" s="72"/>
      <c r="P23" s="75"/>
      <c r="Q23" s="2" t="s">
        <v>29</v>
      </c>
      <c r="R23" s="13">
        <f>((_xlfn.BITAND(P21,3840))/(2^8))</f>
        <v>14</v>
      </c>
      <c r="S23" s="13" t="str">
        <f>IF(R23&lt;16,CONCATENATE("0x0",(DEC2HEX(R23))),CONCATENATE("0x",(DEC2HEX(R23))))</f>
        <v>0x0E</v>
      </c>
      <c r="T23" s="5" t="str">
        <f>DEC2BIN(R23,8)</f>
        <v>00001110</v>
      </c>
    </row>
    <row r="24" spans="5:20" x14ac:dyDescent="0.25">
      <c r="E24" s="56" t="s">
        <v>31</v>
      </c>
      <c r="F24" s="56"/>
      <c r="G24" s="56"/>
      <c r="H24" s="56"/>
      <c r="I24" s="56"/>
      <c r="J24" s="56"/>
      <c r="K24" s="56"/>
      <c r="L24" s="56"/>
      <c r="M24" s="1"/>
      <c r="P24" s="1"/>
      <c r="Q24" s="2"/>
      <c r="R24" s="2"/>
      <c r="S24" s="2"/>
      <c r="T24" s="1"/>
    </row>
    <row r="25" spans="5:20" x14ac:dyDescent="0.25">
      <c r="E25" s="74">
        <v>2.5</v>
      </c>
      <c r="F25" s="74"/>
      <c r="G25" s="74"/>
      <c r="H25" s="74"/>
      <c r="I25" s="74"/>
      <c r="J25" s="74"/>
      <c r="K25" s="74"/>
      <c r="L25" s="74"/>
      <c r="M25" s="72" t="s">
        <v>5</v>
      </c>
      <c r="N25" s="75">
        <f>(P25*Variables!C1/Variables!C3)*Variables!C2</f>
        <v>2.5002197802197834</v>
      </c>
      <c r="O25" s="64" t="s">
        <v>5</v>
      </c>
      <c r="P25" s="75">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4"/>
      <c r="F26" s="74"/>
      <c r="G26" s="74"/>
      <c r="H26" s="74"/>
      <c r="I26" s="74"/>
      <c r="J26" s="74"/>
      <c r="K26" s="74"/>
      <c r="L26" s="74"/>
      <c r="M26" s="72"/>
      <c r="N26" s="75"/>
      <c r="O26" s="80"/>
      <c r="P26" s="75"/>
      <c r="Q26" s="2"/>
      <c r="R26" s="2"/>
      <c r="S26" s="2"/>
      <c r="T26" s="1"/>
    </row>
    <row r="27" spans="5:20" x14ac:dyDescent="0.25">
      <c r="E27" s="74"/>
      <c r="F27" s="74"/>
      <c r="G27" s="74"/>
      <c r="H27" s="74"/>
      <c r="I27" s="74"/>
      <c r="J27" s="74"/>
      <c r="K27" s="74"/>
      <c r="L27" s="74"/>
      <c r="M27" s="72"/>
      <c r="N27" s="75"/>
      <c r="O27" s="65"/>
      <c r="P27" s="75"/>
      <c r="Q27" s="2" t="s">
        <v>33</v>
      </c>
      <c r="R27" s="13">
        <f>((_xlfn.BITAND(P25,3840))/(2^8))</f>
        <v>8</v>
      </c>
      <c r="S27" s="13" t="str">
        <f>IF(R27&lt;16,CONCATENATE("0x0",(DEC2HEX(R27))),CONCATENATE("0x",(DEC2HEX(R27))))</f>
        <v>0x08</v>
      </c>
      <c r="T27" s="5" t="str">
        <f>DEC2BIN(R27,8)</f>
        <v>00001000</v>
      </c>
    </row>
    <row r="28" spans="5:20" x14ac:dyDescent="0.25">
      <c r="E28" s="56" t="s">
        <v>34</v>
      </c>
      <c r="F28" s="56"/>
      <c r="G28" s="56"/>
      <c r="H28" s="56"/>
      <c r="I28" s="56"/>
      <c r="J28" s="56"/>
      <c r="K28" s="56"/>
      <c r="L28" s="56"/>
      <c r="M28" s="1"/>
      <c r="P28" s="1"/>
      <c r="Q28" s="2"/>
      <c r="R28" s="2"/>
      <c r="S28" s="2"/>
      <c r="T28" s="1"/>
    </row>
    <row r="29" spans="5:20" x14ac:dyDescent="0.25">
      <c r="E29" s="58">
        <v>4.18</v>
      </c>
      <c r="F29" s="59"/>
      <c r="G29" s="59"/>
      <c r="H29" s="59"/>
      <c r="I29" s="59"/>
      <c r="J29" s="59"/>
      <c r="K29" s="59"/>
      <c r="L29" s="60"/>
      <c r="M29" s="64" t="s">
        <v>5</v>
      </c>
      <c r="N29" s="75">
        <f>(P29*Variables!C1/Variables!C3)*Variables!C2</f>
        <v>4.1799267399267448</v>
      </c>
      <c r="O29" s="72" t="s">
        <v>5</v>
      </c>
      <c r="P29" s="75">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82"/>
      <c r="F30" s="83"/>
      <c r="G30" s="83"/>
      <c r="H30" s="83"/>
      <c r="I30" s="83"/>
      <c r="J30" s="83"/>
      <c r="K30" s="83"/>
      <c r="L30" s="84"/>
      <c r="M30" s="80"/>
      <c r="N30" s="75"/>
      <c r="O30" s="72"/>
      <c r="P30" s="75"/>
      <c r="Q30" s="2"/>
      <c r="R30" s="2"/>
      <c r="S30" s="2"/>
      <c r="T30" s="1"/>
    </row>
    <row r="31" spans="5:20" x14ac:dyDescent="0.25">
      <c r="E31" s="61"/>
      <c r="F31" s="62"/>
      <c r="G31" s="62"/>
      <c r="H31" s="62"/>
      <c r="I31" s="62"/>
      <c r="J31" s="62"/>
      <c r="K31" s="62"/>
      <c r="L31" s="63"/>
      <c r="M31" s="65"/>
      <c r="N31" s="75"/>
      <c r="O31" s="72"/>
      <c r="P31" s="75"/>
      <c r="Q31" s="2" t="s">
        <v>38</v>
      </c>
      <c r="R31" s="13">
        <f>((_xlfn.BITAND(P29,3840))/(2^8))</f>
        <v>13</v>
      </c>
      <c r="S31" s="13" t="str">
        <f>IF(R31&lt;16,CONCATENATE("0x0",(DEC2HEX(R31))),CONCATENATE("0x",(DEC2HEX(R31))))</f>
        <v>0x0D</v>
      </c>
      <c r="T31" s="5" t="str">
        <f>DEC2BIN(R31,8)</f>
        <v>00001101</v>
      </c>
    </row>
    <row r="32" spans="5:20" x14ac:dyDescent="0.25">
      <c r="E32" s="56" t="s">
        <v>36</v>
      </c>
      <c r="F32" s="56"/>
      <c r="G32" s="56"/>
      <c r="H32" s="56"/>
      <c r="I32" s="56"/>
      <c r="J32" s="56"/>
      <c r="K32" s="56"/>
      <c r="L32" s="56"/>
      <c r="M32" s="1"/>
      <c r="P32" s="1"/>
      <c r="Q32" s="2"/>
      <c r="R32" s="2"/>
      <c r="S32" s="2"/>
      <c r="T32" s="1"/>
    </row>
    <row r="33" spans="5:20" x14ac:dyDescent="0.25">
      <c r="E33" s="74">
        <v>2.7</v>
      </c>
      <c r="F33" s="74"/>
      <c r="G33" s="74"/>
      <c r="H33" s="74"/>
      <c r="I33" s="74"/>
      <c r="J33" s="74"/>
      <c r="K33" s="74"/>
      <c r="L33" s="74"/>
      <c r="M33" s="72" t="s">
        <v>5</v>
      </c>
      <c r="N33" s="75">
        <f>(P33*Variables!C1/Variables!C3)*Variables!C2</f>
        <v>2.6994871794871829</v>
      </c>
      <c r="O33" s="72" t="s">
        <v>5</v>
      </c>
      <c r="P33" s="75">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4"/>
      <c r="F34" s="74"/>
      <c r="G34" s="74"/>
      <c r="H34" s="74"/>
      <c r="I34" s="74"/>
      <c r="J34" s="74"/>
      <c r="K34" s="74"/>
      <c r="L34" s="74"/>
      <c r="M34" s="72"/>
      <c r="N34" s="75"/>
      <c r="O34" s="72"/>
      <c r="P34" s="75"/>
      <c r="Q34" s="2"/>
      <c r="R34" s="2"/>
      <c r="S34" s="2"/>
      <c r="T34" s="1"/>
    </row>
    <row r="35" spans="5:20" x14ac:dyDescent="0.25">
      <c r="E35" s="74"/>
      <c r="F35" s="74"/>
      <c r="G35" s="74"/>
      <c r="H35" s="74"/>
      <c r="I35" s="74"/>
      <c r="J35" s="74"/>
      <c r="K35" s="74"/>
      <c r="L35" s="74"/>
      <c r="M35" s="72"/>
      <c r="N35" s="75"/>
      <c r="O35" s="72"/>
      <c r="P35" s="75"/>
      <c r="Q35" s="2" t="s">
        <v>39</v>
      </c>
      <c r="R35" s="13">
        <f>((_xlfn.BITAND(P33,3840))/(2^8))</f>
        <v>8</v>
      </c>
      <c r="S35" s="13" t="str">
        <f>IF(R35&lt;16,CONCATENATE("0x0",(DEC2HEX(R35))),CONCATENATE("0x",(DEC2HEX(R35))))</f>
        <v>0x08</v>
      </c>
      <c r="T35" s="5" t="str">
        <f>DEC2BIN(R35,8)</f>
        <v>00001000</v>
      </c>
    </row>
    <row r="36" spans="5:20" x14ac:dyDescent="0.25">
      <c r="E36" s="56" t="s">
        <v>42</v>
      </c>
      <c r="F36" s="56"/>
      <c r="G36" s="56"/>
      <c r="H36" s="56"/>
      <c r="I36" s="56"/>
      <c r="J36" s="56"/>
      <c r="K36" s="56"/>
      <c r="L36" s="56"/>
      <c r="M36" s="1"/>
      <c r="P36" s="1"/>
      <c r="Q36" s="2"/>
      <c r="R36" s="2"/>
      <c r="S36" s="2"/>
      <c r="T36" s="1"/>
    </row>
    <row r="37" spans="5:20" x14ac:dyDescent="0.25">
      <c r="E37" s="53">
        <v>1</v>
      </c>
      <c r="F37" s="54"/>
      <c r="G37" s="54"/>
      <c r="H37" s="54"/>
      <c r="I37" s="54"/>
      <c r="J37" s="54"/>
      <c r="K37" s="54"/>
      <c r="L37" s="55"/>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8" t="s">
        <v>40</v>
      </c>
      <c r="F38" s="89"/>
      <c r="G38" s="89"/>
      <c r="H38" s="89"/>
      <c r="I38" s="89"/>
      <c r="J38" s="89"/>
      <c r="K38" s="89"/>
      <c r="L38" s="90"/>
      <c r="M38" s="11"/>
      <c r="P38" s="11"/>
      <c r="Q38" s="24"/>
      <c r="R38" s="24"/>
      <c r="S38" s="24"/>
      <c r="T38" s="1"/>
    </row>
    <row r="39" spans="5:20" x14ac:dyDescent="0.25">
      <c r="E39" s="85" t="s">
        <v>45</v>
      </c>
      <c r="F39" s="86"/>
      <c r="G39" s="86"/>
      <c r="H39" s="87"/>
      <c r="I39" s="85" t="s">
        <v>46</v>
      </c>
      <c r="J39" s="86"/>
      <c r="K39" s="86"/>
      <c r="L39" s="87"/>
      <c r="M39" s="1"/>
      <c r="P39" s="1"/>
      <c r="Q39" s="2" t="s">
        <v>43</v>
      </c>
      <c r="R39" s="13">
        <f>(P40*4)+((_xlfn.BITAND(P37,768)/2^8))</f>
        <v>8</v>
      </c>
      <c r="S39" s="13" t="str">
        <f>IF(R39&lt;16,CONCATENATE("0x0",(DEC2HEX(R39))),CONCATENATE("0x",(DEC2HEX(R39))))</f>
        <v>0x08</v>
      </c>
      <c r="T39" s="5" t="str">
        <f>DEC2BIN(R39,8)</f>
        <v>00001000</v>
      </c>
    </row>
    <row r="40" spans="5:20" x14ac:dyDescent="0.25">
      <c r="E40" s="53">
        <v>1</v>
      </c>
      <c r="F40" s="54"/>
      <c r="G40" s="54"/>
      <c r="H40" s="55"/>
      <c r="I40" s="71">
        <v>0</v>
      </c>
      <c r="J40" s="71"/>
      <c r="K40" s="71"/>
      <c r="L40" s="71"/>
      <c r="M40" s="21"/>
      <c r="N40" s="13" t="str">
        <f>IF(((E40*2 +I40) = 3),"min",IF((E40*2+I40 = 2), "s",IF((E40*2+I40=1),"ms","us")))</f>
        <v>s</v>
      </c>
      <c r="O40" s="16"/>
      <c r="P40" s="22">
        <f>IF(N40="min",3,IF(N40="s",2,IF(N40="ms",1,0)))</f>
        <v>2</v>
      </c>
      <c r="Q40" s="2"/>
      <c r="R40" s="2"/>
      <c r="S40" s="2"/>
      <c r="T40" s="1"/>
    </row>
    <row r="41" spans="5:20" x14ac:dyDescent="0.25">
      <c r="E41" s="56" t="s">
        <v>201</v>
      </c>
      <c r="F41" s="56"/>
      <c r="G41" s="56"/>
      <c r="H41" s="56"/>
      <c r="I41" s="56"/>
      <c r="J41" s="56"/>
      <c r="K41" s="56"/>
      <c r="L41" s="56"/>
      <c r="M41" s="11"/>
      <c r="P41" s="11"/>
      <c r="Q41" s="24" t="s">
        <v>44</v>
      </c>
      <c r="R41" s="13">
        <f>_xlfn.BITAND(P42,255)</f>
        <v>5</v>
      </c>
      <c r="S41" s="13" t="str">
        <f>IF(R41&lt;16,CONCATENATE("0x0",(DEC2HEX(R41))),CONCATENATE("0x",(DEC2HEX(R41))))</f>
        <v>0x05</v>
      </c>
      <c r="T41" s="5" t="str">
        <f>DEC2BIN(R41,8)</f>
        <v>00000101</v>
      </c>
    </row>
    <row r="42" spans="5:20" x14ac:dyDescent="0.25">
      <c r="E42" s="71">
        <v>5</v>
      </c>
      <c r="F42" s="71"/>
      <c r="G42" s="71"/>
      <c r="H42" s="71"/>
      <c r="I42" s="71"/>
      <c r="J42" s="71"/>
      <c r="K42" s="71"/>
      <c r="L42" s="71"/>
      <c r="M42" s="16"/>
      <c r="N42" s="22">
        <f>IF(E42&lt;0,"0",IF(E42&gt;1024,"1024",ROUND(E42,0)))</f>
        <v>5</v>
      </c>
      <c r="O42" s="16"/>
      <c r="P42" s="22">
        <f>N42</f>
        <v>5</v>
      </c>
      <c r="Q42" s="2"/>
      <c r="R42" s="2"/>
      <c r="S42" s="2"/>
      <c r="T42" s="1"/>
    </row>
    <row r="43" spans="5:20" x14ac:dyDescent="0.25">
      <c r="E43" s="56" t="s">
        <v>180</v>
      </c>
      <c r="F43" s="56"/>
      <c r="G43" s="56"/>
      <c r="H43" s="56"/>
      <c r="I43" s="56"/>
      <c r="J43" s="56"/>
      <c r="K43" s="56"/>
      <c r="L43" s="56"/>
      <c r="M43" s="11"/>
      <c r="P43" s="11"/>
      <c r="Q43" s="2" t="s">
        <v>47</v>
      </c>
      <c r="R43" s="13">
        <f>(P45*4)+((_xlfn.BITAND(P42,768)/2^8))</f>
        <v>8</v>
      </c>
      <c r="S43" s="13" t="str">
        <f>IF(R43&lt;16,CONCATENATE("0x0",(DEC2HEX(R43))),CONCATENATE("0x",(DEC2HEX(R43))))</f>
        <v>0x08</v>
      </c>
      <c r="T43" s="5" t="str">
        <f>DEC2BIN(R43,8)</f>
        <v>00001000</v>
      </c>
    </row>
    <row r="44" spans="5:20" x14ac:dyDescent="0.25">
      <c r="E44" s="85" t="s">
        <v>82</v>
      </c>
      <c r="F44" s="86"/>
      <c r="G44" s="86"/>
      <c r="H44" s="87"/>
      <c r="I44" s="85" t="s">
        <v>179</v>
      </c>
      <c r="J44" s="86"/>
      <c r="K44" s="86"/>
      <c r="L44" s="87"/>
      <c r="M44" s="11"/>
      <c r="P44" s="11"/>
      <c r="Q44" s="2"/>
      <c r="R44" s="2"/>
      <c r="S44" s="2"/>
      <c r="T44" s="1"/>
    </row>
    <row r="45" spans="5:20" x14ac:dyDescent="0.25">
      <c r="E45" s="74">
        <v>1</v>
      </c>
      <c r="F45" s="74"/>
      <c r="G45" s="74"/>
      <c r="H45" s="74"/>
      <c r="I45" s="74">
        <v>0</v>
      </c>
      <c r="J45" s="74"/>
      <c r="K45" s="74"/>
      <c r="L45" s="74"/>
      <c r="M45" s="16"/>
      <c r="N45" s="22" t="str">
        <f>IF(((E45*2 +I45) = 3),"min",IF((E45*2+I45 = 2), "s",IF((E45*2+I45=1),"ms","us")))</f>
        <v>s</v>
      </c>
      <c r="O45" s="16"/>
      <c r="P45" s="22">
        <f>IF(N45="min",3,IF(N45="s",2,IF(N45="ms",1,0)))</f>
        <v>2</v>
      </c>
      <c r="Q45" s="16"/>
      <c r="R45" s="16"/>
      <c r="S45" s="16"/>
      <c r="T45" s="1"/>
    </row>
    <row r="46" spans="5:20" x14ac:dyDescent="0.25">
      <c r="E46" s="56" t="s">
        <v>49</v>
      </c>
      <c r="F46" s="56"/>
      <c r="G46" s="56"/>
      <c r="H46" s="56"/>
      <c r="I46" s="56"/>
      <c r="J46" s="56"/>
      <c r="K46" s="56"/>
      <c r="L46" s="56"/>
      <c r="M46" s="11"/>
      <c r="P46" s="11"/>
      <c r="Q46" s="24" t="s">
        <v>48</v>
      </c>
      <c r="R46" s="26">
        <f>_xlfn.BITAND(P47,255)</f>
        <v>20</v>
      </c>
      <c r="S46" s="26" t="str">
        <f>IF(R46&lt;16,CONCATENATE("0x0",(DEC2HEX(R46))),CONCATENATE("0x",(DEC2HEX(R46))))</f>
        <v>0x14</v>
      </c>
      <c r="T46" s="5" t="str">
        <f>DEC2BIN(R46,8)</f>
        <v>00010100</v>
      </c>
    </row>
    <row r="47" spans="5:20" x14ac:dyDescent="0.25">
      <c r="E47" s="96">
        <v>20</v>
      </c>
      <c r="F47" s="96"/>
      <c r="G47" s="96"/>
      <c r="H47" s="96"/>
      <c r="I47" s="96"/>
      <c r="J47" s="96"/>
      <c r="K47" s="96"/>
      <c r="L47" s="96"/>
      <c r="M47" s="16"/>
      <c r="N47" s="22">
        <f>IF(E47&lt;0, "0", IF(E47 &gt; 511, "511",ROUND(E47,0)))</f>
        <v>20</v>
      </c>
      <c r="O47" s="22" t="str">
        <f>N49</f>
        <v>ms</v>
      </c>
      <c r="P47" s="22">
        <f>N47</f>
        <v>20</v>
      </c>
      <c r="Q47" s="2"/>
      <c r="R47" s="2"/>
      <c r="S47" s="2"/>
      <c r="T47" s="1"/>
    </row>
    <row r="48" spans="5:20" x14ac:dyDescent="0.25">
      <c r="E48" s="97" t="s">
        <v>50</v>
      </c>
      <c r="F48" s="97"/>
      <c r="G48" s="97"/>
      <c r="H48" s="97"/>
      <c r="I48" s="97"/>
      <c r="J48" s="97"/>
      <c r="K48" s="97"/>
      <c r="L48" s="97"/>
      <c r="M48" s="11"/>
      <c r="P48" s="11"/>
      <c r="Q48" s="2" t="s">
        <v>51</v>
      </c>
      <c r="R48" s="13">
        <f>(P49*2)+((_xlfn.BITAND(P47,256)/2^8))</f>
        <v>2</v>
      </c>
      <c r="S48" s="13" t="str">
        <f>IF(R48&lt;16,CONCATENATE("0x0",(DEC2HEX(R48))),CONCATENATE("0x",(DEC2HEX(R48))))</f>
        <v>0x02</v>
      </c>
      <c r="T48" s="5" t="str">
        <f>DEC2BIN(R48,8)</f>
        <v>00000010</v>
      </c>
    </row>
    <row r="49" spans="5:20" x14ac:dyDescent="0.25">
      <c r="E49" s="71">
        <v>1</v>
      </c>
      <c r="F49" s="71"/>
      <c r="G49" s="71"/>
      <c r="H49" s="71"/>
      <c r="I49" s="71"/>
      <c r="J49" s="71"/>
      <c r="K49" s="71"/>
      <c r="L49" s="71"/>
      <c r="M49" s="20"/>
      <c r="N49" s="13" t="str">
        <f>IF((E49=1),"ms","us")</f>
        <v>ms</v>
      </c>
      <c r="O49" s="2"/>
      <c r="P49" s="13">
        <f>IF(N49="ms",1,0)</f>
        <v>1</v>
      </c>
      <c r="Q49" s="2"/>
      <c r="R49" s="2"/>
      <c r="S49" s="2"/>
      <c r="T49" s="1"/>
    </row>
    <row r="50" spans="5:20" x14ac:dyDescent="0.25">
      <c r="E50" s="98" t="s">
        <v>52</v>
      </c>
      <c r="F50" s="98"/>
      <c r="G50" s="98"/>
      <c r="H50" s="98"/>
      <c r="I50" s="98"/>
      <c r="J50" s="98"/>
      <c r="K50" s="98"/>
      <c r="L50" s="98"/>
      <c r="P50" s="1"/>
      <c r="Q50" s="1"/>
      <c r="R50" s="1"/>
      <c r="S50" s="1"/>
      <c r="T50" s="1"/>
    </row>
    <row r="51" spans="5:20" x14ac:dyDescent="0.25">
      <c r="E51" s="99">
        <v>100</v>
      </c>
      <c r="F51" s="99"/>
      <c r="G51" s="99"/>
      <c r="H51" s="99"/>
      <c r="I51" s="99"/>
      <c r="J51" s="99"/>
      <c r="K51" s="99"/>
      <c r="L51" s="99"/>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6" t="s">
        <v>54</v>
      </c>
      <c r="F52" s="56"/>
      <c r="G52" s="56"/>
      <c r="H52" s="56"/>
      <c r="I52" s="56"/>
      <c r="J52" s="56"/>
      <c r="K52" s="56"/>
      <c r="L52" s="56"/>
      <c r="M52" s="1"/>
      <c r="P52" s="1"/>
      <c r="Q52" s="2"/>
      <c r="R52" s="2"/>
      <c r="S52" s="2"/>
      <c r="T52" s="1"/>
    </row>
    <row r="53" spans="5:20" x14ac:dyDescent="0.25">
      <c r="E53" s="91" t="s">
        <v>55</v>
      </c>
      <c r="F53" s="92"/>
      <c r="G53" s="92"/>
      <c r="H53" s="56" t="s">
        <v>56</v>
      </c>
      <c r="I53" s="56"/>
      <c r="J53" s="56"/>
      <c r="K53" s="85" t="s">
        <v>10</v>
      </c>
      <c r="L53" s="87"/>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93"/>
      <c r="F54" s="94"/>
      <c r="G54" s="95"/>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6" t="s">
        <v>60</v>
      </c>
      <c r="F55" s="56"/>
      <c r="G55" s="56"/>
      <c r="H55" s="56"/>
      <c r="I55" s="56"/>
      <c r="J55" s="56"/>
      <c r="K55" s="56"/>
      <c r="L55" s="56"/>
      <c r="P55" s="1"/>
      <c r="Q55" s="1"/>
      <c r="R55" s="1"/>
      <c r="S55" s="1"/>
      <c r="T55" s="1"/>
    </row>
    <row r="56" spans="5:20" x14ac:dyDescent="0.25">
      <c r="E56" s="71">
        <v>50</v>
      </c>
      <c r="F56" s="71"/>
      <c r="G56" s="71"/>
      <c r="H56" s="71"/>
      <c r="I56" s="71"/>
      <c r="J56" s="71"/>
      <c r="K56" s="71"/>
      <c r="L56" s="71"/>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6" t="s">
        <v>61</v>
      </c>
      <c r="F57" s="56"/>
      <c r="G57" s="56"/>
      <c r="H57" s="56"/>
      <c r="I57" s="56"/>
      <c r="J57" s="56"/>
      <c r="K57" s="56"/>
      <c r="L57" s="56"/>
      <c r="M57" s="1"/>
      <c r="P57" s="1"/>
      <c r="Q57" s="2"/>
      <c r="R57" s="2"/>
      <c r="S57" s="2"/>
      <c r="T57" s="1"/>
    </row>
    <row r="58" spans="5:20" x14ac:dyDescent="0.25">
      <c r="E58" s="91" t="s">
        <v>55</v>
      </c>
      <c r="F58" s="92"/>
      <c r="G58" s="92"/>
      <c r="H58" s="56" t="s">
        <v>56</v>
      </c>
      <c r="I58" s="56"/>
      <c r="J58" s="56"/>
      <c r="K58" s="85" t="s">
        <v>10</v>
      </c>
      <c r="L58" s="87"/>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93"/>
      <c r="F59" s="94"/>
      <c r="G59" s="95"/>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6" t="s">
        <v>62</v>
      </c>
      <c r="F60" s="56"/>
      <c r="G60" s="56"/>
      <c r="H60" s="56"/>
      <c r="I60" s="56"/>
      <c r="J60" s="56"/>
      <c r="K60" s="56"/>
      <c r="L60" s="56"/>
      <c r="P60" s="1"/>
      <c r="Q60" s="1"/>
      <c r="R60" s="1"/>
      <c r="S60" s="1"/>
      <c r="T60" s="1"/>
    </row>
    <row r="61" spans="5:20" x14ac:dyDescent="0.25">
      <c r="E61" s="71">
        <v>1</v>
      </c>
      <c r="F61" s="71"/>
      <c r="G61" s="71"/>
      <c r="H61" s="71"/>
      <c r="I61" s="71"/>
      <c r="J61" s="71"/>
      <c r="K61" s="71"/>
      <c r="L61" s="71"/>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56" t="s">
        <v>63</v>
      </c>
      <c r="F62" s="56"/>
      <c r="G62" s="56"/>
      <c r="H62" s="56"/>
      <c r="I62" s="56"/>
      <c r="J62" s="56"/>
      <c r="K62" s="56"/>
      <c r="L62" s="56"/>
      <c r="M62" s="1"/>
      <c r="P62" s="1"/>
      <c r="Q62" s="2"/>
      <c r="R62" s="2"/>
      <c r="S62" s="2"/>
      <c r="T62" s="1"/>
    </row>
    <row r="63" spans="5:20" x14ac:dyDescent="0.25">
      <c r="E63" s="91" t="s">
        <v>55</v>
      </c>
      <c r="F63" s="92"/>
      <c r="G63" s="92"/>
      <c r="H63" s="56" t="s">
        <v>56</v>
      </c>
      <c r="I63" s="56"/>
      <c r="J63" s="56"/>
      <c r="K63" s="85" t="s">
        <v>10</v>
      </c>
      <c r="L63" s="87"/>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1"/>
      <c r="F64" s="102"/>
      <c r="G64" s="103"/>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6" t="s">
        <v>68</v>
      </c>
      <c r="F65" s="56"/>
      <c r="G65" s="56"/>
      <c r="H65" s="56"/>
      <c r="I65" s="56"/>
      <c r="J65" s="56"/>
      <c r="K65" s="56"/>
      <c r="L65" s="56"/>
      <c r="M65" s="1"/>
      <c r="P65" s="1"/>
      <c r="Q65" s="2"/>
      <c r="R65" s="2"/>
      <c r="S65" s="2"/>
      <c r="T65" s="1"/>
    </row>
    <row r="66" spans="5:20" x14ac:dyDescent="0.25">
      <c r="E66" s="74">
        <v>3.3</v>
      </c>
      <c r="F66" s="74"/>
      <c r="G66" s="74"/>
      <c r="H66" s="74"/>
      <c r="I66" s="74"/>
      <c r="J66" s="74"/>
      <c r="K66" s="74"/>
      <c r="L66" s="74"/>
      <c r="M66" s="100" t="s">
        <v>5</v>
      </c>
      <c r="N66" s="75">
        <f>(P66*Variables!C1/Variables!C3)*Variables!C2</f>
        <v>3.2996336996337039</v>
      </c>
      <c r="O66" s="72" t="s">
        <v>5</v>
      </c>
      <c r="P66" s="75">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4"/>
      <c r="F67" s="74"/>
      <c r="G67" s="74"/>
      <c r="H67" s="74"/>
      <c r="I67" s="74"/>
      <c r="J67" s="74"/>
      <c r="K67" s="74"/>
      <c r="L67" s="74"/>
      <c r="M67" s="100"/>
      <c r="N67" s="75"/>
      <c r="O67" s="72"/>
      <c r="P67" s="75"/>
      <c r="Q67" s="2"/>
      <c r="R67" s="2"/>
      <c r="S67" s="2"/>
      <c r="T67" s="1"/>
    </row>
    <row r="68" spans="5:20" x14ac:dyDescent="0.25">
      <c r="E68" s="74"/>
      <c r="F68" s="74"/>
      <c r="G68" s="74"/>
      <c r="H68" s="74"/>
      <c r="I68" s="74"/>
      <c r="J68" s="74"/>
      <c r="K68" s="74"/>
      <c r="L68" s="74"/>
      <c r="M68" s="100"/>
      <c r="N68" s="75"/>
      <c r="O68" s="72"/>
      <c r="P68" s="75"/>
      <c r="Q68" s="2" t="s">
        <v>70</v>
      </c>
      <c r="R68" s="13">
        <f>((_xlfn.BITAND(P66,3840))/(2^8))</f>
        <v>10</v>
      </c>
      <c r="S68" s="13" t="str">
        <f>IF(R68&lt;16,CONCATENATE("0x0",(DEC2HEX(R68))),CONCATENATE("0x",(DEC2HEX(R68))))</f>
        <v>0x0A</v>
      </c>
      <c r="T68" s="5" t="str">
        <f>DEC2BIN(R68,8)</f>
        <v>00001010</v>
      </c>
    </row>
    <row r="69" spans="5:20" x14ac:dyDescent="0.25">
      <c r="E69" s="56" t="s">
        <v>71</v>
      </c>
      <c r="F69" s="56"/>
      <c r="G69" s="56"/>
      <c r="H69" s="56"/>
      <c r="I69" s="56"/>
      <c r="J69" s="56"/>
      <c r="K69" s="56"/>
      <c r="L69" s="56"/>
      <c r="M69" s="1"/>
      <c r="P69" s="1"/>
      <c r="Q69" s="2"/>
      <c r="R69" s="2"/>
      <c r="S69" s="2"/>
      <c r="T69" s="1"/>
    </row>
    <row r="70" spans="5:20" x14ac:dyDescent="0.25">
      <c r="E70" s="74">
        <v>4.1500000000000004</v>
      </c>
      <c r="F70" s="74"/>
      <c r="G70" s="74"/>
      <c r="H70" s="74"/>
      <c r="I70" s="74"/>
      <c r="J70" s="74"/>
      <c r="K70" s="74"/>
      <c r="L70" s="74"/>
      <c r="M70" s="100" t="s">
        <v>5</v>
      </c>
      <c r="N70" s="75">
        <f>(P70*Variables!C1/Variables!C3)*Variables!C2</f>
        <v>4.1494505494505551</v>
      </c>
      <c r="O70" s="72" t="s">
        <v>5</v>
      </c>
      <c r="P70" s="75">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4"/>
      <c r="F71" s="74"/>
      <c r="G71" s="74"/>
      <c r="H71" s="74"/>
      <c r="I71" s="74"/>
      <c r="J71" s="74"/>
      <c r="K71" s="74"/>
      <c r="L71" s="74"/>
      <c r="M71" s="100"/>
      <c r="N71" s="75"/>
      <c r="O71" s="72"/>
      <c r="P71" s="75"/>
      <c r="Q71" s="2"/>
      <c r="R71" s="2"/>
      <c r="S71" s="2"/>
      <c r="T71" s="1"/>
    </row>
    <row r="72" spans="5:20" x14ac:dyDescent="0.25">
      <c r="E72" s="74"/>
      <c r="F72" s="74"/>
      <c r="G72" s="74"/>
      <c r="H72" s="74"/>
      <c r="I72" s="74"/>
      <c r="J72" s="74"/>
      <c r="K72" s="74"/>
      <c r="L72" s="74"/>
      <c r="M72" s="100"/>
      <c r="N72" s="75"/>
      <c r="O72" s="72"/>
      <c r="P72" s="75"/>
      <c r="Q72" s="2" t="s">
        <v>73</v>
      </c>
      <c r="R72" s="13">
        <f>((_xlfn.BITAND(P70,3840))/(2^8))</f>
        <v>13</v>
      </c>
      <c r="S72" s="13" t="str">
        <f>IF(R72&lt;16,CONCATENATE("0x0",(DEC2HEX(R72))),CONCATENATE("0x",(DEC2HEX(R72))))</f>
        <v>0x0D</v>
      </c>
      <c r="T72" s="5" t="str">
        <f>DEC2BIN(R72,8)</f>
        <v>00001101</v>
      </c>
    </row>
    <row r="73" spans="5:20" x14ac:dyDescent="0.25">
      <c r="E73" s="56" t="s">
        <v>74</v>
      </c>
      <c r="F73" s="56"/>
      <c r="G73" s="56"/>
      <c r="H73" s="56"/>
      <c r="I73" s="56"/>
      <c r="J73" s="56"/>
      <c r="K73" s="56"/>
      <c r="L73" s="56"/>
      <c r="M73" s="1"/>
      <c r="P73" s="1"/>
      <c r="Q73" s="2"/>
      <c r="R73" s="2"/>
      <c r="S73" s="2"/>
      <c r="T73" s="1"/>
    </row>
    <row r="74" spans="5:20" x14ac:dyDescent="0.25">
      <c r="E74" s="74">
        <v>0.02</v>
      </c>
      <c r="F74" s="74"/>
      <c r="G74" s="74"/>
      <c r="H74" s="74"/>
      <c r="I74" s="74"/>
      <c r="J74" s="74"/>
      <c r="K74" s="74"/>
      <c r="L74" s="74"/>
      <c r="M74" s="100" t="s">
        <v>5</v>
      </c>
      <c r="N74" s="75">
        <f>(P74*Variables!C1/Variables!C3)*Variables!C2</f>
        <v>1.9926739926739951E-2</v>
      </c>
      <c r="O74" s="72" t="s">
        <v>5</v>
      </c>
      <c r="P74" s="75">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4"/>
      <c r="F75" s="74"/>
      <c r="G75" s="74"/>
      <c r="H75" s="74"/>
      <c r="I75" s="74"/>
      <c r="J75" s="74"/>
      <c r="K75" s="74"/>
      <c r="L75" s="74"/>
      <c r="M75" s="100"/>
      <c r="N75" s="75"/>
      <c r="O75" s="72"/>
      <c r="P75" s="75"/>
      <c r="Q75" s="2"/>
      <c r="R75" s="2"/>
      <c r="S75" s="2"/>
      <c r="T75" s="1"/>
    </row>
    <row r="76" spans="5:20" x14ac:dyDescent="0.25">
      <c r="E76" s="74"/>
      <c r="F76" s="74"/>
      <c r="G76" s="74"/>
      <c r="H76" s="74"/>
      <c r="I76" s="74"/>
      <c r="J76" s="74"/>
      <c r="K76" s="74"/>
      <c r="L76" s="74"/>
      <c r="M76" s="100"/>
      <c r="N76" s="75"/>
      <c r="O76" s="72"/>
      <c r="P76" s="75"/>
      <c r="Q76" s="2" t="s">
        <v>76</v>
      </c>
      <c r="R76" s="13">
        <f>((_xlfn.BITAND(P74,3840))/(2^8))</f>
        <v>0</v>
      </c>
      <c r="S76" s="13" t="str">
        <f>IF(R76&lt;16,CONCATENATE("0x0",(DEC2HEX(R76))),CONCATENATE("0x",(DEC2HEX(R76))))</f>
        <v>0x00</v>
      </c>
      <c r="T76" s="5" t="str">
        <f>DEC2BIN(R76,8)</f>
        <v>00000000</v>
      </c>
    </row>
    <row r="77" spans="5:20" x14ac:dyDescent="0.25">
      <c r="E77" s="56" t="s">
        <v>77</v>
      </c>
      <c r="F77" s="56"/>
      <c r="G77" s="56"/>
      <c r="H77" s="56"/>
      <c r="I77" s="56"/>
      <c r="J77" s="56"/>
      <c r="K77" s="56"/>
      <c r="L77" s="56"/>
      <c r="M77" s="1"/>
      <c r="P77" s="1"/>
      <c r="Q77" s="2"/>
      <c r="R77" s="2"/>
      <c r="S77" s="2"/>
      <c r="T77" s="1"/>
    </row>
    <row r="78" spans="5:20" x14ac:dyDescent="0.25">
      <c r="E78" s="74">
        <v>0.5</v>
      </c>
      <c r="F78" s="74"/>
      <c r="G78" s="74"/>
      <c r="H78" s="74"/>
      <c r="I78" s="74"/>
      <c r="J78" s="74"/>
      <c r="K78" s="74"/>
      <c r="L78" s="74"/>
      <c r="M78" s="100" t="s">
        <v>5</v>
      </c>
      <c r="N78" s="75">
        <f>(P78*Variables!C1/Variables!C3)*Variables!C2</f>
        <v>0.50051282051282109</v>
      </c>
      <c r="O78" s="72" t="s">
        <v>5</v>
      </c>
      <c r="P78" s="75">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4"/>
      <c r="F79" s="74"/>
      <c r="G79" s="74"/>
      <c r="H79" s="74"/>
      <c r="I79" s="74"/>
      <c r="J79" s="74"/>
      <c r="K79" s="74"/>
      <c r="L79" s="74"/>
      <c r="M79" s="100"/>
      <c r="N79" s="75"/>
      <c r="O79" s="72"/>
      <c r="P79" s="75"/>
      <c r="Q79" s="2"/>
      <c r="R79" s="2"/>
      <c r="S79" s="2"/>
      <c r="T79" s="1"/>
    </row>
    <row r="80" spans="5:20" x14ac:dyDescent="0.25">
      <c r="E80" s="74"/>
      <c r="F80" s="74"/>
      <c r="G80" s="74"/>
      <c r="H80" s="74"/>
      <c r="I80" s="74"/>
      <c r="J80" s="74"/>
      <c r="K80" s="74"/>
      <c r="L80" s="74"/>
      <c r="M80" s="100"/>
      <c r="N80" s="75"/>
      <c r="O80" s="72"/>
      <c r="P80" s="75"/>
      <c r="Q80" s="2" t="s">
        <v>79</v>
      </c>
      <c r="R80" s="13">
        <f>((_xlfn.BITAND(P78,3840))/(2^8))</f>
        <v>1</v>
      </c>
      <c r="S80" s="13" t="str">
        <f>IF(R80&lt;16,CONCATENATE("0x0",(DEC2HEX(R80))),CONCATENATE("0x",(DEC2HEX(R80))))</f>
        <v>0x01</v>
      </c>
      <c r="T80" s="5" t="str">
        <f>DEC2BIN(R80,8)</f>
        <v>00000001</v>
      </c>
    </row>
    <row r="81" spans="4:20" x14ac:dyDescent="0.25">
      <c r="E81" s="56" t="s">
        <v>80</v>
      </c>
      <c r="F81" s="56"/>
      <c r="G81" s="56"/>
      <c r="H81" s="56"/>
      <c r="I81" s="56"/>
      <c r="J81" s="56"/>
      <c r="K81" s="56"/>
      <c r="L81" s="56"/>
      <c r="M81" s="11"/>
      <c r="P81" s="11"/>
      <c r="Q81" s="24"/>
      <c r="R81" s="2"/>
      <c r="S81" s="2"/>
      <c r="T81" s="1"/>
    </row>
    <row r="82" spans="4:20" x14ac:dyDescent="0.25">
      <c r="E82" s="71">
        <v>2</v>
      </c>
      <c r="F82" s="71"/>
      <c r="G82" s="71"/>
      <c r="H82" s="71"/>
      <c r="I82" s="71"/>
      <c r="J82" s="71"/>
      <c r="K82" s="71"/>
      <c r="L82" s="71"/>
      <c r="M82" s="16"/>
      <c r="N82" s="22">
        <f>IF(E82&lt;0, "0", IF(E82 &gt; 1024, "1024",ROUND(E82,0)))</f>
        <v>2</v>
      </c>
      <c r="O82" s="22" t="str">
        <f>N85</f>
        <v>s</v>
      </c>
      <c r="P82" s="22">
        <f>N82</f>
        <v>2</v>
      </c>
      <c r="Q82" s="2"/>
      <c r="R82" s="2"/>
      <c r="S82" s="2"/>
      <c r="T82" s="1"/>
    </row>
    <row r="83" spans="4:20" x14ac:dyDescent="0.25">
      <c r="E83" s="85" t="s">
        <v>85</v>
      </c>
      <c r="F83" s="86"/>
      <c r="G83" s="86"/>
      <c r="H83" s="86"/>
      <c r="I83" s="86"/>
      <c r="J83" s="86"/>
      <c r="K83" s="86"/>
      <c r="L83" s="87"/>
      <c r="M83" s="11"/>
      <c r="P83" s="11"/>
      <c r="Q83" s="2" t="s">
        <v>83</v>
      </c>
      <c r="R83" s="13">
        <f>_xlfn.BITAND(P82,255)</f>
        <v>2</v>
      </c>
      <c r="S83" s="13" t="str">
        <f>IF(R83&lt;16,CONCATENATE("0x0",(DEC2HEX(R83))),CONCATENATE("0x",(DEC2HEX(R83))))</f>
        <v>0x02</v>
      </c>
      <c r="T83" s="5" t="str">
        <f>DEC2BIN(R83,8)</f>
        <v>00000010</v>
      </c>
    </row>
    <row r="84" spans="4:20" x14ac:dyDescent="0.25">
      <c r="E84" s="85" t="s">
        <v>81</v>
      </c>
      <c r="F84" s="86"/>
      <c r="G84" s="86"/>
      <c r="H84" s="87"/>
      <c r="I84" s="85" t="s">
        <v>181</v>
      </c>
      <c r="J84" s="86"/>
      <c r="K84" s="86"/>
      <c r="L84" s="87"/>
      <c r="M84" s="11"/>
      <c r="P84" s="11"/>
      <c r="Q84" s="2"/>
      <c r="R84" s="2"/>
      <c r="S84" s="2"/>
      <c r="T84" s="1"/>
    </row>
    <row r="85" spans="4:20" x14ac:dyDescent="0.25">
      <c r="E85" s="74">
        <v>1</v>
      </c>
      <c r="F85" s="74"/>
      <c r="G85" s="74"/>
      <c r="H85" s="74"/>
      <c r="I85" s="74">
        <v>0</v>
      </c>
      <c r="J85" s="74"/>
      <c r="K85" s="74"/>
      <c r="L85" s="74"/>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6" t="s">
        <v>86</v>
      </c>
      <c r="F86" s="56"/>
      <c r="G86" s="56"/>
      <c r="H86" s="56"/>
      <c r="I86" s="56"/>
      <c r="J86" s="56"/>
      <c r="K86" s="56"/>
      <c r="L86" s="56"/>
      <c r="M86" s="11"/>
      <c r="P86" s="11"/>
      <c r="Q86" s="24"/>
      <c r="R86" s="2"/>
      <c r="S86" s="2"/>
      <c r="T86" s="1"/>
    </row>
    <row r="87" spans="4:20" x14ac:dyDescent="0.25">
      <c r="E87" s="71">
        <v>2</v>
      </c>
      <c r="F87" s="71"/>
      <c r="G87" s="71"/>
      <c r="H87" s="71"/>
      <c r="I87" s="71"/>
      <c r="J87" s="71"/>
      <c r="K87" s="71"/>
      <c r="L87" s="71"/>
      <c r="M87" s="16"/>
      <c r="N87" s="22">
        <f>IF(E87&lt;0, "0", IF(E87 &gt; 1024, "1024",ROUND(E87,0)))</f>
        <v>2</v>
      </c>
      <c r="O87" s="16"/>
      <c r="P87" s="22">
        <f>N87</f>
        <v>2</v>
      </c>
      <c r="Q87" s="2"/>
      <c r="R87" s="2"/>
      <c r="S87" s="2"/>
      <c r="T87" s="1"/>
    </row>
    <row r="88" spans="4:20" x14ac:dyDescent="0.25">
      <c r="E88" s="85" t="s">
        <v>87</v>
      </c>
      <c r="F88" s="86"/>
      <c r="G88" s="86"/>
      <c r="H88" s="86"/>
      <c r="I88" s="86"/>
      <c r="J88" s="86"/>
      <c r="K88" s="86"/>
      <c r="L88" s="87"/>
      <c r="M88" s="11"/>
      <c r="P88" s="11"/>
      <c r="Q88" s="2" t="s">
        <v>90</v>
      </c>
      <c r="R88" s="13">
        <f>_xlfn.BITAND(P87,255)</f>
        <v>2</v>
      </c>
      <c r="S88" s="13" t="str">
        <f>IF(R88&lt;16,CONCATENATE("0x0",(DEC2HEX(R88))),CONCATENATE("0x",(DEC2HEX(R88))))</f>
        <v>0x02</v>
      </c>
      <c r="T88" s="5" t="str">
        <f>DEC2BIN(R88,8)</f>
        <v>00000010</v>
      </c>
    </row>
    <row r="89" spans="4:20" x14ac:dyDescent="0.25">
      <c r="E89" s="85" t="s">
        <v>183</v>
      </c>
      <c r="F89" s="86"/>
      <c r="G89" s="86"/>
      <c r="H89" s="87"/>
      <c r="I89" s="85" t="s">
        <v>182</v>
      </c>
      <c r="J89" s="86"/>
      <c r="K89" s="86"/>
      <c r="L89" s="87"/>
      <c r="M89" s="11"/>
      <c r="P89" s="11"/>
      <c r="Q89" s="2"/>
      <c r="R89" s="2"/>
      <c r="S89" s="2"/>
      <c r="T89" s="1"/>
    </row>
    <row r="90" spans="4:20" x14ac:dyDescent="0.25">
      <c r="E90" s="74">
        <v>1</v>
      </c>
      <c r="F90" s="74"/>
      <c r="G90" s="74"/>
      <c r="H90" s="74"/>
      <c r="I90" s="74">
        <v>0</v>
      </c>
      <c r="J90" s="74"/>
      <c r="K90" s="74"/>
      <c r="L90" s="74"/>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2" t="s">
        <v>89</v>
      </c>
      <c r="F91" s="72"/>
      <c r="G91" s="72"/>
      <c r="H91" s="72"/>
      <c r="I91" s="72"/>
      <c r="J91" s="72"/>
      <c r="K91" s="72"/>
      <c r="L91" s="72"/>
      <c r="M91" s="1"/>
      <c r="P91" s="1"/>
      <c r="Q91" s="2"/>
      <c r="R91" s="2"/>
      <c r="S91" s="2"/>
      <c r="T91" s="1"/>
    </row>
    <row r="92" spans="4:20" x14ac:dyDescent="0.25">
      <c r="E92" s="74">
        <f>0.6453*2</f>
        <v>1.2906</v>
      </c>
      <c r="F92" s="74"/>
      <c r="G92" s="74"/>
      <c r="H92" s="74"/>
      <c r="I92" s="74"/>
      <c r="J92" s="74"/>
      <c r="K92" s="74"/>
      <c r="L92" s="74"/>
      <c r="M92" s="100" t="s">
        <v>5</v>
      </c>
      <c r="N92" s="75">
        <f>(P92*Variables!C1/Variables!C3)</f>
        <v>1.2905494505494506</v>
      </c>
      <c r="O92" s="100" t="s">
        <v>5</v>
      </c>
      <c r="P92" s="75">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4"/>
      <c r="F93" s="74"/>
      <c r="G93" s="74"/>
      <c r="H93" s="74"/>
      <c r="I93" s="74"/>
      <c r="J93" s="74"/>
      <c r="K93" s="74"/>
      <c r="L93" s="74"/>
      <c r="M93" s="100"/>
      <c r="N93" s="75"/>
      <c r="O93" s="100"/>
      <c r="P93" s="75"/>
      <c r="Q93" s="2"/>
      <c r="R93" s="2"/>
      <c r="S93" s="2"/>
      <c r="T93" s="2"/>
    </row>
    <row r="94" spans="4:20" x14ac:dyDescent="0.25">
      <c r="E94" s="74"/>
      <c r="F94" s="74"/>
      <c r="G94" s="74"/>
      <c r="H94" s="74"/>
      <c r="I94" s="74"/>
      <c r="J94" s="74"/>
      <c r="K94" s="74"/>
      <c r="L94" s="74"/>
      <c r="M94" s="100"/>
      <c r="N94" s="75"/>
      <c r="O94" s="100"/>
      <c r="P94" s="75"/>
      <c r="Q94" s="2" t="s">
        <v>93</v>
      </c>
      <c r="R94" s="13">
        <f>((_xlfn.BITAND(P92,3840))/(2^8))</f>
        <v>11</v>
      </c>
      <c r="S94" s="13" t="str">
        <f>IF(R94&lt;16,CONCATENATE("0x0",(DEC2HEX(R94))),CONCATENATE("0x",(DEC2HEX(R94))))</f>
        <v>0x0B</v>
      </c>
      <c r="T94" s="5" t="str">
        <f>DEC2BIN(R94,8)</f>
        <v>00001011</v>
      </c>
    </row>
    <row r="95" spans="4:20" x14ac:dyDescent="0.25">
      <c r="E95" s="72" t="s">
        <v>94</v>
      </c>
      <c r="F95" s="72"/>
      <c r="G95" s="72"/>
      <c r="H95" s="72"/>
      <c r="I95" s="72"/>
      <c r="J95" s="72"/>
      <c r="K95" s="72"/>
      <c r="L95" s="72"/>
      <c r="M95" s="1"/>
      <c r="P95" s="1"/>
      <c r="Q95" s="2"/>
      <c r="R95" s="2"/>
      <c r="S95" s="2"/>
      <c r="T95" s="1"/>
    </row>
    <row r="96" spans="4:20" x14ac:dyDescent="0.25">
      <c r="E96" s="74">
        <f>0.6275*2</f>
        <v>1.2549999999999999</v>
      </c>
      <c r="F96" s="74"/>
      <c r="G96" s="74"/>
      <c r="H96" s="74"/>
      <c r="I96" s="74"/>
      <c r="J96" s="74"/>
      <c r="K96" s="74"/>
      <c r="L96" s="74"/>
      <c r="M96" s="100" t="s">
        <v>5</v>
      </c>
      <c r="N96" s="75">
        <f>(P96*Variables!C1/Variables!C3)</f>
        <v>1.2549450549450549</v>
      </c>
      <c r="O96" s="100" t="s">
        <v>5</v>
      </c>
      <c r="P96" s="75">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4"/>
      <c r="F97" s="74"/>
      <c r="G97" s="74"/>
      <c r="H97" s="74"/>
      <c r="I97" s="74"/>
      <c r="J97" s="74"/>
      <c r="K97" s="74"/>
      <c r="L97" s="74"/>
      <c r="M97" s="100"/>
      <c r="N97" s="75"/>
      <c r="O97" s="100"/>
      <c r="P97" s="75"/>
      <c r="Q97" s="2"/>
      <c r="R97" s="1"/>
      <c r="S97" s="1"/>
      <c r="T97" s="1"/>
    </row>
    <row r="98" spans="4:20" x14ac:dyDescent="0.25">
      <c r="E98" s="74"/>
      <c r="F98" s="74"/>
      <c r="G98" s="74"/>
      <c r="H98" s="74"/>
      <c r="I98" s="74"/>
      <c r="J98" s="74"/>
      <c r="K98" s="74"/>
      <c r="L98" s="74"/>
      <c r="M98" s="100"/>
      <c r="N98" s="75"/>
      <c r="O98" s="100"/>
      <c r="P98" s="75"/>
      <c r="Q98" s="2" t="s">
        <v>96</v>
      </c>
      <c r="R98" s="13">
        <f>((_xlfn.BITAND(P96,3840))/(2^8))</f>
        <v>11</v>
      </c>
      <c r="S98" s="13" t="str">
        <f>IF(R98&lt;16,CONCATENATE("0x0",(DEC2HEX(R98))),CONCATENATE("0x",(DEC2HEX(R98))))</f>
        <v>0x0B</v>
      </c>
      <c r="T98" s="5" t="str">
        <f>DEC2BIN(R98,8)</f>
        <v>00001011</v>
      </c>
    </row>
    <row r="99" spans="4:20" x14ac:dyDescent="0.25">
      <c r="E99" s="72" t="s">
        <v>100</v>
      </c>
      <c r="F99" s="72"/>
      <c r="G99" s="72"/>
      <c r="H99" s="72"/>
      <c r="I99" s="72"/>
      <c r="J99" s="72"/>
      <c r="K99" s="72"/>
      <c r="L99" s="72"/>
      <c r="M99" s="1"/>
      <c r="P99" s="1"/>
      <c r="Q99" s="2"/>
      <c r="R99" s="2"/>
      <c r="S99" s="2"/>
      <c r="T99" s="1"/>
    </row>
    <row r="100" spans="4:20" x14ac:dyDescent="0.25">
      <c r="E100" s="74">
        <f>0.3409*2</f>
        <v>0.68179999999999996</v>
      </c>
      <c r="F100" s="74"/>
      <c r="G100" s="74"/>
      <c r="H100" s="74"/>
      <c r="I100" s="74"/>
      <c r="J100" s="74"/>
      <c r="K100" s="74"/>
      <c r="L100" s="74"/>
      <c r="M100" s="100" t="s">
        <v>5</v>
      </c>
      <c r="N100" s="75">
        <f>(P100*Variables!C1/Variables!C3)</f>
        <v>0.68175824175824185</v>
      </c>
      <c r="O100" s="100" t="s">
        <v>5</v>
      </c>
      <c r="P100" s="75">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4"/>
      <c r="F101" s="74"/>
      <c r="G101" s="74"/>
      <c r="H101" s="74"/>
      <c r="I101" s="74"/>
      <c r="J101" s="74"/>
      <c r="K101" s="74"/>
      <c r="L101" s="74"/>
      <c r="M101" s="100"/>
      <c r="N101" s="75"/>
      <c r="O101" s="100"/>
      <c r="P101" s="75"/>
      <c r="Q101" s="2"/>
      <c r="R101" s="1"/>
      <c r="S101" s="1"/>
      <c r="T101" s="1"/>
    </row>
    <row r="102" spans="4:20" x14ac:dyDescent="0.25">
      <c r="E102" s="74"/>
      <c r="F102" s="74"/>
      <c r="G102" s="74"/>
      <c r="H102" s="74"/>
      <c r="I102" s="74"/>
      <c r="J102" s="74"/>
      <c r="K102" s="74"/>
      <c r="L102" s="74"/>
      <c r="M102" s="100"/>
      <c r="N102" s="75"/>
      <c r="O102" s="100"/>
      <c r="P102" s="75"/>
      <c r="Q102" s="2" t="s">
        <v>98</v>
      </c>
      <c r="R102" s="13">
        <f>((_xlfn.BITAND(P100,3840))/(2^8))</f>
        <v>6</v>
      </c>
      <c r="S102" s="13" t="str">
        <f>IF(R102&lt;16,CONCATENATE("0x0",(DEC2HEX(R102))),CONCATENATE("0x",(DEC2HEX(R102))))</f>
        <v>0x06</v>
      </c>
      <c r="T102" s="5" t="str">
        <f>DEC2BIN(R102,8)</f>
        <v>00000110</v>
      </c>
    </row>
    <row r="103" spans="4:20" x14ac:dyDescent="0.25">
      <c r="E103" s="72" t="s">
        <v>101</v>
      </c>
      <c r="F103" s="72"/>
      <c r="G103" s="72"/>
      <c r="H103" s="72"/>
      <c r="I103" s="72"/>
      <c r="J103" s="72"/>
      <c r="K103" s="72"/>
      <c r="L103" s="72"/>
      <c r="M103" s="1"/>
      <c r="P103" s="9"/>
      <c r="Q103" s="19"/>
      <c r="R103" s="19"/>
      <c r="S103" s="2"/>
      <c r="T103" s="1"/>
    </row>
    <row r="104" spans="4:20" x14ac:dyDescent="0.25">
      <c r="E104" s="74">
        <f>0.380481924339651*2</f>
        <v>0.760963848679302</v>
      </c>
      <c r="F104" s="74"/>
      <c r="G104" s="74"/>
      <c r="H104" s="74"/>
      <c r="I104" s="74"/>
      <c r="J104" s="74"/>
      <c r="K104" s="74"/>
      <c r="L104" s="74"/>
      <c r="M104" s="100" t="s">
        <v>5</v>
      </c>
      <c r="N104" s="75">
        <f>(P104*Variables!C1/Variables!C3)</f>
        <v>0.76087912087912091</v>
      </c>
      <c r="O104" s="104" t="s">
        <v>5</v>
      </c>
      <c r="P104" s="75">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4"/>
      <c r="F105" s="74"/>
      <c r="G105" s="74"/>
      <c r="H105" s="74"/>
      <c r="I105" s="74"/>
      <c r="J105" s="74"/>
      <c r="K105" s="74"/>
      <c r="L105" s="74"/>
      <c r="M105" s="100"/>
      <c r="N105" s="75"/>
      <c r="O105" s="104"/>
      <c r="P105" s="75"/>
      <c r="Q105" s="2"/>
      <c r="R105" s="1"/>
      <c r="S105" s="6"/>
      <c r="T105" s="1"/>
    </row>
    <row r="106" spans="4:20" x14ac:dyDescent="0.25">
      <c r="E106" s="74"/>
      <c r="F106" s="74"/>
      <c r="G106" s="74"/>
      <c r="H106" s="74"/>
      <c r="I106" s="74"/>
      <c r="J106" s="74"/>
      <c r="K106" s="74"/>
      <c r="L106" s="74"/>
      <c r="M106" s="100"/>
      <c r="N106" s="75"/>
      <c r="O106" s="104"/>
      <c r="P106" s="75"/>
      <c r="Q106" s="2" t="s">
        <v>105</v>
      </c>
      <c r="R106" s="13">
        <f>((_xlfn.BITAND(P104,3840))/(2^8))</f>
        <v>6</v>
      </c>
      <c r="S106" s="27" t="str">
        <f>IF(R106&lt;16,CONCATENATE("0x0",(DEC2HEX(R106))),CONCATENATE("0x",(DEC2HEX(R106))))</f>
        <v>0x06</v>
      </c>
      <c r="T106" s="5" t="str">
        <f>DEC2BIN(R106,8)</f>
        <v>00000110</v>
      </c>
    </row>
    <row r="107" spans="4:20" x14ac:dyDescent="0.25">
      <c r="E107" s="72" t="s">
        <v>106</v>
      </c>
      <c r="F107" s="72"/>
      <c r="G107" s="72"/>
      <c r="H107" s="72"/>
      <c r="I107" s="72"/>
      <c r="J107" s="72"/>
      <c r="K107" s="72"/>
      <c r="L107" s="72"/>
      <c r="M107" s="1"/>
      <c r="P107" s="9"/>
      <c r="Q107" s="19"/>
      <c r="R107" s="19"/>
      <c r="S107" s="2"/>
      <c r="T107" s="1"/>
    </row>
    <row r="108" spans="4:20" x14ac:dyDescent="0.25">
      <c r="E108" s="74">
        <f>0.2363*2</f>
        <v>0.47260000000000002</v>
      </c>
      <c r="F108" s="74"/>
      <c r="G108" s="74"/>
      <c r="H108" s="74"/>
      <c r="I108" s="74"/>
      <c r="J108" s="74"/>
      <c r="K108" s="74"/>
      <c r="L108" s="74"/>
      <c r="M108" s="100" t="s">
        <v>5</v>
      </c>
      <c r="N108" s="75">
        <f>(P108*Variables!C1/Variables!C3)</f>
        <v>0.47252747252747251</v>
      </c>
      <c r="O108" s="104" t="s">
        <v>5</v>
      </c>
      <c r="P108" s="75">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4"/>
      <c r="F109" s="74"/>
      <c r="G109" s="74"/>
      <c r="H109" s="74"/>
      <c r="I109" s="74"/>
      <c r="J109" s="74"/>
      <c r="K109" s="74"/>
      <c r="L109" s="74"/>
      <c r="M109" s="100"/>
      <c r="N109" s="75"/>
      <c r="O109" s="104"/>
      <c r="P109" s="75"/>
      <c r="Q109" s="2"/>
      <c r="R109" s="1"/>
      <c r="S109" s="6"/>
      <c r="T109" s="1"/>
    </row>
    <row r="110" spans="4:20" x14ac:dyDescent="0.25">
      <c r="E110" s="74"/>
      <c r="F110" s="74"/>
      <c r="G110" s="74"/>
      <c r="H110" s="74"/>
      <c r="I110" s="74"/>
      <c r="J110" s="74"/>
      <c r="K110" s="74"/>
      <c r="L110" s="74"/>
      <c r="M110" s="100"/>
      <c r="N110" s="75"/>
      <c r="O110" s="104"/>
      <c r="P110" s="75"/>
      <c r="Q110" s="2" t="s">
        <v>104</v>
      </c>
      <c r="R110" s="13">
        <f>((_xlfn.BITAND(P108,3840))/(2^8))</f>
        <v>4</v>
      </c>
      <c r="S110" s="27" t="str">
        <f>IF(R110&lt;16,CONCATENATE("0x0",(DEC2HEX(R110))),CONCATENATE("0x",(DEC2HEX(R110))))</f>
        <v>0x04</v>
      </c>
      <c r="T110" s="5" t="str">
        <f>DEC2BIN(R110,8)</f>
        <v>00000100</v>
      </c>
    </row>
    <row r="111" spans="4:20" x14ac:dyDescent="0.25">
      <c r="E111" s="72" t="s">
        <v>102</v>
      </c>
      <c r="F111" s="72"/>
      <c r="G111" s="72"/>
      <c r="H111" s="72"/>
      <c r="I111" s="72"/>
      <c r="J111" s="72"/>
      <c r="K111" s="72"/>
      <c r="L111" s="72"/>
      <c r="M111" s="1"/>
      <c r="P111" s="9"/>
      <c r="Q111" s="19"/>
      <c r="R111" s="19"/>
      <c r="S111" s="2"/>
      <c r="T111" s="1"/>
    </row>
    <row r="112" spans="4:20" x14ac:dyDescent="0.25">
      <c r="E112" s="74">
        <f>0.2683*2</f>
        <v>0.53659999999999997</v>
      </c>
      <c r="F112" s="74"/>
      <c r="G112" s="74"/>
      <c r="H112" s="74"/>
      <c r="I112" s="74"/>
      <c r="J112" s="74"/>
      <c r="K112" s="74"/>
      <c r="L112" s="74"/>
      <c r="M112" s="100" t="s">
        <v>5</v>
      </c>
      <c r="N112" s="75">
        <f>(P112*Variables!C1/Variables!C3)</f>
        <v>0.53670329670329675</v>
      </c>
      <c r="O112" s="104" t="s">
        <v>5</v>
      </c>
      <c r="P112" s="75">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4"/>
      <c r="F113" s="74"/>
      <c r="G113" s="74"/>
      <c r="H113" s="74"/>
      <c r="I113" s="74"/>
      <c r="J113" s="74"/>
      <c r="K113" s="74"/>
      <c r="L113" s="74"/>
      <c r="M113" s="100"/>
      <c r="N113" s="75"/>
      <c r="O113" s="104"/>
      <c r="P113" s="75"/>
      <c r="Q113" s="2"/>
      <c r="R113" s="1"/>
      <c r="S113" s="6"/>
      <c r="T113" s="1"/>
    </row>
    <row r="114" spans="4:20" x14ac:dyDescent="0.25">
      <c r="E114" s="74"/>
      <c r="F114" s="74"/>
      <c r="G114" s="74"/>
      <c r="H114" s="74"/>
      <c r="I114" s="74"/>
      <c r="J114" s="74"/>
      <c r="K114" s="74"/>
      <c r="L114" s="74"/>
      <c r="M114" s="100"/>
      <c r="N114" s="75"/>
      <c r="O114" s="104"/>
      <c r="P114" s="75"/>
      <c r="Q114" s="2" t="s">
        <v>108</v>
      </c>
      <c r="R114" s="13">
        <f>((_xlfn.BITAND(P112,3840))/(2^8))</f>
        <v>4</v>
      </c>
      <c r="S114" s="27" t="str">
        <f>IF(R114&lt;16,CONCATENATE("0x0",(DEC2HEX(R114))),CONCATENATE("0x",(DEC2HEX(R114))))</f>
        <v>0x04</v>
      </c>
      <c r="T114" s="5" t="str">
        <f>DEC2BIN(R114,8)</f>
        <v>00000100</v>
      </c>
    </row>
    <row r="115" spans="4:20" x14ac:dyDescent="0.25">
      <c r="E115" s="72" t="s">
        <v>109</v>
      </c>
      <c r="F115" s="72"/>
      <c r="G115" s="72"/>
      <c r="H115" s="72"/>
      <c r="I115" s="72"/>
      <c r="J115" s="72"/>
      <c r="K115" s="72"/>
      <c r="L115" s="72"/>
      <c r="M115" s="1"/>
      <c r="P115" s="9"/>
      <c r="Q115" s="19"/>
      <c r="R115" s="19"/>
      <c r="S115" s="2"/>
      <c r="T115" s="1"/>
    </row>
    <row r="116" spans="4:20" x14ac:dyDescent="0.25">
      <c r="E116" s="74">
        <f>0.6564*2</f>
        <v>1.3128</v>
      </c>
      <c r="F116" s="74"/>
      <c r="G116" s="74"/>
      <c r="H116" s="74"/>
      <c r="I116" s="74"/>
      <c r="J116" s="74"/>
      <c r="K116" s="74"/>
      <c r="L116" s="74"/>
      <c r="M116" s="100" t="s">
        <v>5</v>
      </c>
      <c r="N116" s="75">
        <f>(P116*Variables!C1/Variables!C3)</f>
        <v>1.3129670329670331</v>
      </c>
      <c r="O116" s="104" t="s">
        <v>5</v>
      </c>
      <c r="P116" s="75">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4"/>
      <c r="F117" s="74"/>
      <c r="G117" s="74"/>
      <c r="H117" s="74"/>
      <c r="I117" s="74"/>
      <c r="J117" s="74"/>
      <c r="K117" s="74"/>
      <c r="L117" s="74"/>
      <c r="M117" s="100"/>
      <c r="N117" s="75"/>
      <c r="O117" s="104"/>
      <c r="P117" s="75"/>
      <c r="Q117" s="2"/>
      <c r="R117" s="1"/>
      <c r="S117" s="6"/>
      <c r="T117" s="1"/>
    </row>
    <row r="118" spans="4:20" x14ac:dyDescent="0.25">
      <c r="E118" s="74"/>
      <c r="F118" s="74"/>
      <c r="G118" s="74"/>
      <c r="H118" s="74"/>
      <c r="I118" s="74"/>
      <c r="J118" s="74"/>
      <c r="K118" s="74"/>
      <c r="L118" s="74"/>
      <c r="M118" s="100"/>
      <c r="N118" s="75"/>
      <c r="O118" s="104"/>
      <c r="P118" s="75"/>
      <c r="Q118" s="2" t="s">
        <v>111</v>
      </c>
      <c r="R118" s="13">
        <f>((_xlfn.BITAND(P116,3840))/(2^8))</f>
        <v>11</v>
      </c>
      <c r="S118" s="27" t="str">
        <f>IF(R118&lt;16,CONCATENATE("0x0",(DEC2HEX(R118))),CONCATENATE("0x",(DEC2HEX(R118))))</f>
        <v>0x0B</v>
      </c>
      <c r="T118" s="5" t="str">
        <f>DEC2BIN(R118,8)</f>
        <v>00001011</v>
      </c>
    </row>
    <row r="119" spans="4:20" x14ac:dyDescent="0.25">
      <c r="E119" s="72" t="s">
        <v>112</v>
      </c>
      <c r="F119" s="72"/>
      <c r="G119" s="72"/>
      <c r="H119" s="72"/>
      <c r="I119" s="72"/>
      <c r="J119" s="72"/>
      <c r="K119" s="72"/>
      <c r="L119" s="72"/>
      <c r="M119" s="1"/>
      <c r="P119" s="9"/>
      <c r="Q119" s="19"/>
      <c r="R119" s="19"/>
      <c r="S119" s="2"/>
      <c r="T119" s="1"/>
    </row>
    <row r="120" spans="4:20" x14ac:dyDescent="0.25">
      <c r="E120" s="74">
        <f>0.6453*2</f>
        <v>1.2906</v>
      </c>
      <c r="F120" s="74"/>
      <c r="G120" s="74"/>
      <c r="H120" s="74"/>
      <c r="I120" s="74"/>
      <c r="J120" s="74"/>
      <c r="K120" s="74"/>
      <c r="L120" s="74"/>
      <c r="M120" s="100" t="s">
        <v>5</v>
      </c>
      <c r="N120" s="75">
        <f>(P120*Variables!C1/Variables!C3)</f>
        <v>1.2905494505494506</v>
      </c>
      <c r="O120" s="104" t="s">
        <v>5</v>
      </c>
      <c r="P120" s="75">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4"/>
      <c r="F121" s="74"/>
      <c r="G121" s="74"/>
      <c r="H121" s="74"/>
      <c r="I121" s="74"/>
      <c r="J121" s="74"/>
      <c r="K121" s="74"/>
      <c r="L121" s="74"/>
      <c r="M121" s="100"/>
      <c r="N121" s="75"/>
      <c r="O121" s="104"/>
      <c r="P121" s="75"/>
      <c r="Q121" s="2"/>
      <c r="R121" s="1"/>
      <c r="S121" s="6"/>
      <c r="T121" s="1"/>
    </row>
    <row r="122" spans="4:20" x14ac:dyDescent="0.25">
      <c r="E122" s="74"/>
      <c r="F122" s="74"/>
      <c r="G122" s="74"/>
      <c r="H122" s="74"/>
      <c r="I122" s="74"/>
      <c r="J122" s="74"/>
      <c r="K122" s="74"/>
      <c r="L122" s="74"/>
      <c r="M122" s="100"/>
      <c r="N122" s="75"/>
      <c r="O122" s="104"/>
      <c r="P122" s="75"/>
      <c r="Q122" s="2" t="s">
        <v>114</v>
      </c>
      <c r="R122" s="13">
        <f>((_xlfn.BITAND(P120,3840))/(2^8))</f>
        <v>11</v>
      </c>
      <c r="S122" s="27" t="str">
        <f>IF(R122&lt;16,CONCATENATE("0x0",(DEC2HEX(R122))),CONCATENATE("0x",(DEC2HEX(R122))))</f>
        <v>0x0B</v>
      </c>
      <c r="T122" s="5" t="str">
        <f>DEC2BIN(R122,8)</f>
        <v>00001011</v>
      </c>
    </row>
    <row r="123" spans="4:20" x14ac:dyDescent="0.25">
      <c r="E123" s="72" t="s">
        <v>115</v>
      </c>
      <c r="F123" s="72"/>
      <c r="G123" s="72"/>
      <c r="H123" s="72"/>
      <c r="I123" s="72"/>
      <c r="J123" s="72"/>
      <c r="K123" s="72"/>
      <c r="L123" s="72"/>
      <c r="M123" s="1"/>
      <c r="P123" s="9"/>
      <c r="Q123" s="19"/>
      <c r="R123" s="19"/>
      <c r="S123" s="2"/>
      <c r="T123" s="1"/>
    </row>
    <row r="124" spans="4:20" x14ac:dyDescent="0.25">
      <c r="E124" s="74">
        <f>0.2363*2</f>
        <v>0.47260000000000002</v>
      </c>
      <c r="F124" s="74"/>
      <c r="G124" s="74"/>
      <c r="H124" s="74"/>
      <c r="I124" s="74"/>
      <c r="J124" s="74"/>
      <c r="K124" s="74"/>
      <c r="L124" s="74"/>
      <c r="M124" s="100" t="s">
        <v>5</v>
      </c>
      <c r="N124" s="75">
        <f>(P124*Variables!C1/Variables!C3)</f>
        <v>0.47252747252747251</v>
      </c>
      <c r="O124" s="104" t="s">
        <v>5</v>
      </c>
      <c r="P124" s="75">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4"/>
      <c r="F125" s="74"/>
      <c r="G125" s="74"/>
      <c r="H125" s="74"/>
      <c r="I125" s="74"/>
      <c r="J125" s="74"/>
      <c r="K125" s="74"/>
      <c r="L125" s="74"/>
      <c r="M125" s="100"/>
      <c r="N125" s="75"/>
      <c r="O125" s="104"/>
      <c r="P125" s="75"/>
      <c r="Q125" s="2"/>
      <c r="R125" s="1"/>
      <c r="S125" s="6"/>
      <c r="T125" s="1"/>
    </row>
    <row r="126" spans="4:20" x14ac:dyDescent="0.25">
      <c r="E126" s="74"/>
      <c r="F126" s="74"/>
      <c r="G126" s="74"/>
      <c r="H126" s="74"/>
      <c r="I126" s="74"/>
      <c r="J126" s="74"/>
      <c r="K126" s="74"/>
      <c r="L126" s="74"/>
      <c r="M126" s="100"/>
      <c r="N126" s="75"/>
      <c r="O126" s="104"/>
      <c r="P126" s="75"/>
      <c r="Q126" s="2" t="s">
        <v>117</v>
      </c>
      <c r="R126" s="13">
        <f>((_xlfn.BITAND(P124,3840))/(2^8))</f>
        <v>4</v>
      </c>
      <c r="S126" s="27" t="str">
        <f>IF(R126&lt;16,CONCATENATE("0x0",(DEC2HEX(R126))),CONCATENATE("0x",(DEC2HEX(R126))))</f>
        <v>0x04</v>
      </c>
      <c r="T126" s="5" t="str">
        <f>DEC2BIN(R126,8)</f>
        <v>00000100</v>
      </c>
    </row>
    <row r="127" spans="4:20" x14ac:dyDescent="0.25">
      <c r="E127" s="72" t="s">
        <v>118</v>
      </c>
      <c r="F127" s="72"/>
      <c r="G127" s="72"/>
      <c r="H127" s="72"/>
      <c r="I127" s="72"/>
      <c r="J127" s="72"/>
      <c r="K127" s="72"/>
      <c r="L127" s="72"/>
      <c r="M127" s="1"/>
      <c r="P127" s="9"/>
      <c r="Q127" s="19"/>
      <c r="R127" s="19"/>
      <c r="S127" s="2"/>
      <c r="T127" s="1"/>
    </row>
    <row r="128" spans="4:20" x14ac:dyDescent="0.25">
      <c r="E128" s="74">
        <f>0.2683*2</f>
        <v>0.53659999999999997</v>
      </c>
      <c r="F128" s="74"/>
      <c r="G128" s="74"/>
      <c r="H128" s="74"/>
      <c r="I128" s="74"/>
      <c r="J128" s="74"/>
      <c r="K128" s="74"/>
      <c r="L128" s="74"/>
      <c r="M128" s="100" t="s">
        <v>5</v>
      </c>
      <c r="N128" s="75">
        <f>(P128*Variables!C1/Variables!C3)</f>
        <v>0.53670329670329675</v>
      </c>
      <c r="O128" s="104" t="s">
        <v>5</v>
      </c>
      <c r="P128" s="75">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4"/>
      <c r="F129" s="74"/>
      <c r="G129" s="74"/>
      <c r="H129" s="74"/>
      <c r="I129" s="74"/>
      <c r="J129" s="74"/>
      <c r="K129" s="74"/>
      <c r="L129" s="74"/>
      <c r="M129" s="100"/>
      <c r="N129" s="75"/>
      <c r="O129" s="104"/>
      <c r="P129" s="75"/>
      <c r="Q129" s="2"/>
      <c r="R129" s="1"/>
      <c r="S129" s="6"/>
      <c r="T129" s="1"/>
    </row>
    <row r="130" spans="4:20" x14ac:dyDescent="0.25">
      <c r="E130" s="74"/>
      <c r="F130" s="74"/>
      <c r="G130" s="74"/>
      <c r="H130" s="74"/>
      <c r="I130" s="74"/>
      <c r="J130" s="74"/>
      <c r="K130" s="74"/>
      <c r="L130" s="74"/>
      <c r="M130" s="100"/>
      <c r="N130" s="75"/>
      <c r="O130" s="104"/>
      <c r="P130" s="75"/>
      <c r="Q130" s="2" t="s">
        <v>120</v>
      </c>
      <c r="R130" s="13">
        <f>((_xlfn.BITAND(P128,3840))/(2^8))</f>
        <v>4</v>
      </c>
      <c r="S130" s="27" t="str">
        <f>IF(R130&lt;16,CONCATENATE("0x0",(DEC2HEX(R130))),CONCATENATE("0x",(DEC2HEX(R130))))</f>
        <v>0x04</v>
      </c>
      <c r="T130" s="5" t="str">
        <f>DEC2BIN(R130,8)</f>
        <v>00000100</v>
      </c>
    </row>
    <row r="131" spans="4:20" x14ac:dyDescent="0.25">
      <c r="E131" s="72" t="s">
        <v>123</v>
      </c>
      <c r="F131" s="72"/>
      <c r="G131" s="72"/>
      <c r="H131" s="72"/>
      <c r="I131" s="72"/>
      <c r="J131" s="72"/>
      <c r="K131" s="72"/>
      <c r="L131" s="72"/>
      <c r="M131" s="1"/>
      <c r="P131" s="9"/>
      <c r="Q131" s="19"/>
      <c r="R131" s="19"/>
      <c r="S131" s="2"/>
      <c r="T131" s="1"/>
    </row>
    <row r="132" spans="4:20" x14ac:dyDescent="0.25">
      <c r="E132" s="74">
        <f>0.6564*2</f>
        <v>1.3128</v>
      </c>
      <c r="F132" s="74"/>
      <c r="G132" s="74"/>
      <c r="H132" s="74"/>
      <c r="I132" s="74"/>
      <c r="J132" s="74"/>
      <c r="K132" s="74"/>
      <c r="L132" s="74"/>
      <c r="M132" s="100" t="s">
        <v>5</v>
      </c>
      <c r="N132" s="75">
        <f>(P132*Variables!C1/Variables!C3)</f>
        <v>1.3129670329670331</v>
      </c>
      <c r="O132" s="104" t="s">
        <v>5</v>
      </c>
      <c r="P132" s="75">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4"/>
      <c r="F133" s="74"/>
      <c r="G133" s="74"/>
      <c r="H133" s="74"/>
      <c r="I133" s="74"/>
      <c r="J133" s="74"/>
      <c r="K133" s="74"/>
      <c r="L133" s="74"/>
      <c r="M133" s="100"/>
      <c r="N133" s="75"/>
      <c r="O133" s="104"/>
      <c r="P133" s="75"/>
      <c r="Q133" s="2"/>
      <c r="R133" s="1"/>
      <c r="S133" s="6"/>
      <c r="T133" s="1"/>
    </row>
    <row r="134" spans="4:20" x14ac:dyDescent="0.25">
      <c r="E134" s="74"/>
      <c r="F134" s="74"/>
      <c r="G134" s="74"/>
      <c r="H134" s="74"/>
      <c r="I134" s="74"/>
      <c r="J134" s="74"/>
      <c r="K134" s="74"/>
      <c r="L134" s="74"/>
      <c r="M134" s="100"/>
      <c r="N134" s="75"/>
      <c r="O134" s="104"/>
      <c r="P134" s="75"/>
      <c r="Q134" s="2" t="s">
        <v>122</v>
      </c>
      <c r="R134" s="13">
        <f>((_xlfn.BITAND(P132,3840))/(2^8))</f>
        <v>11</v>
      </c>
      <c r="S134" s="27" t="str">
        <f>IF(R134&lt;16,CONCATENATE("0x0",(DEC2HEX(R134))),CONCATENATE("0x",(DEC2HEX(R134))))</f>
        <v>0x0B</v>
      </c>
      <c r="T134" s="5" t="str">
        <f>DEC2BIN(R134,8)</f>
        <v>00001011</v>
      </c>
    </row>
    <row r="135" spans="4:20" x14ac:dyDescent="0.25">
      <c r="E135" s="72" t="s">
        <v>124</v>
      </c>
      <c r="F135" s="72"/>
      <c r="G135" s="72"/>
      <c r="H135" s="72"/>
      <c r="I135" s="72"/>
      <c r="J135" s="72"/>
      <c r="K135" s="72"/>
      <c r="L135" s="72"/>
      <c r="M135" s="1"/>
      <c r="P135" s="9"/>
      <c r="Q135" s="19"/>
      <c r="R135" s="19"/>
      <c r="S135" s="2"/>
      <c r="T135" s="1"/>
    </row>
    <row r="136" spans="4:20" x14ac:dyDescent="0.25">
      <c r="E136" s="74">
        <f>0.6453*2</f>
        <v>1.2906</v>
      </c>
      <c r="F136" s="74"/>
      <c r="G136" s="74"/>
      <c r="H136" s="74"/>
      <c r="I136" s="74"/>
      <c r="J136" s="74"/>
      <c r="K136" s="74"/>
      <c r="L136" s="74"/>
      <c r="M136" s="100" t="s">
        <v>5</v>
      </c>
      <c r="N136" s="75">
        <f>(P136*Variables!C1/Variables!C3)</f>
        <v>1.2905494505494506</v>
      </c>
      <c r="O136" s="104" t="s">
        <v>5</v>
      </c>
      <c r="P136" s="75">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4"/>
      <c r="F137" s="74"/>
      <c r="G137" s="74"/>
      <c r="H137" s="74"/>
      <c r="I137" s="74"/>
      <c r="J137" s="74"/>
      <c r="K137" s="74"/>
      <c r="L137" s="74"/>
      <c r="M137" s="100"/>
      <c r="N137" s="75"/>
      <c r="O137" s="104"/>
      <c r="P137" s="75"/>
      <c r="Q137" s="2"/>
      <c r="R137" s="1"/>
      <c r="S137" s="6"/>
      <c r="T137" s="1"/>
    </row>
    <row r="138" spans="4:20" x14ac:dyDescent="0.25">
      <c r="E138" s="74"/>
      <c r="F138" s="74"/>
      <c r="G138" s="74"/>
      <c r="H138" s="74"/>
      <c r="I138" s="74"/>
      <c r="J138" s="74"/>
      <c r="K138" s="74"/>
      <c r="L138" s="74"/>
      <c r="M138" s="100"/>
      <c r="N138" s="75"/>
      <c r="O138" s="104"/>
      <c r="P138" s="75"/>
      <c r="Q138" s="2" t="s">
        <v>126</v>
      </c>
      <c r="R138" s="13">
        <f>((_xlfn.BITAND(P136,3840))/(2^8))</f>
        <v>11</v>
      </c>
      <c r="S138" s="27" t="str">
        <f>IF(R138&lt;16,CONCATENATE("0x0",(DEC2HEX(R138))),CONCATENATE("0x",(DEC2HEX(R138))))</f>
        <v>0x0B</v>
      </c>
      <c r="T138" s="5" t="str">
        <f>DEC2BIN(R138,8)</f>
        <v>00001011</v>
      </c>
    </row>
    <row r="139" spans="4:20" x14ac:dyDescent="0.25">
      <c r="E139" s="72" t="s">
        <v>127</v>
      </c>
      <c r="F139" s="72"/>
      <c r="G139" s="72"/>
      <c r="H139" s="72"/>
      <c r="I139" s="72"/>
      <c r="J139" s="72"/>
      <c r="K139" s="72"/>
      <c r="L139" s="72"/>
      <c r="M139" s="1"/>
      <c r="P139" s="9"/>
      <c r="Q139" s="19"/>
      <c r="R139" s="19"/>
      <c r="S139" s="2"/>
      <c r="T139" s="1"/>
    </row>
    <row r="140" spans="4:20" x14ac:dyDescent="0.25">
      <c r="E140" s="58">
        <v>0.71912100000000001</v>
      </c>
      <c r="F140" s="59"/>
      <c r="G140" s="59"/>
      <c r="H140" s="59"/>
      <c r="I140" s="59"/>
      <c r="J140" s="59"/>
      <c r="K140" s="59"/>
      <c r="L140" s="60"/>
      <c r="M140" s="100" t="s">
        <v>5</v>
      </c>
      <c r="N140" s="75">
        <f>(P140*Variables!C1/Variables!C3)</f>
        <v>0.71912087912087919</v>
      </c>
      <c r="O140" s="104" t="s">
        <v>5</v>
      </c>
      <c r="P140" s="75">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2"/>
      <c r="F141" s="83"/>
      <c r="G141" s="83"/>
      <c r="H141" s="83"/>
      <c r="I141" s="83"/>
      <c r="J141" s="83"/>
      <c r="K141" s="83"/>
      <c r="L141" s="84"/>
      <c r="M141" s="100"/>
      <c r="N141" s="75"/>
      <c r="O141" s="104"/>
      <c r="P141" s="75"/>
      <c r="Q141" s="2"/>
      <c r="R141" s="1"/>
      <c r="S141" s="6"/>
      <c r="T141" s="1"/>
    </row>
    <row r="142" spans="4:20" x14ac:dyDescent="0.25">
      <c r="E142" s="61"/>
      <c r="F142" s="62"/>
      <c r="G142" s="62"/>
      <c r="H142" s="62"/>
      <c r="I142" s="62"/>
      <c r="J142" s="62"/>
      <c r="K142" s="62"/>
      <c r="L142" s="63"/>
      <c r="M142" s="100"/>
      <c r="N142" s="75"/>
      <c r="O142" s="104"/>
      <c r="P142" s="75"/>
      <c r="Q142" s="2" t="s">
        <v>129</v>
      </c>
      <c r="R142" s="13">
        <f>((_xlfn.BITAND(P140,3840))/(2^8))</f>
        <v>6</v>
      </c>
      <c r="S142" s="27" t="str">
        <f>IF(R142&lt;16,CONCATENATE("0x0",(DEC2HEX(R142))),CONCATENATE("0x",(DEC2HEX(R142))))</f>
        <v>0x06</v>
      </c>
      <c r="T142" s="5" t="str">
        <f>DEC2BIN(R142,8)</f>
        <v>00000110</v>
      </c>
    </row>
    <row r="143" spans="4:20" x14ac:dyDescent="0.25">
      <c r="E143" s="72" t="s">
        <v>130</v>
      </c>
      <c r="F143" s="72"/>
      <c r="G143" s="72"/>
      <c r="H143" s="72"/>
      <c r="I143" s="72"/>
      <c r="J143" s="72"/>
      <c r="K143" s="72"/>
      <c r="L143" s="72"/>
      <c r="M143" s="1"/>
      <c r="P143" s="9"/>
      <c r="Q143" s="19"/>
      <c r="R143" s="19"/>
      <c r="S143" s="2"/>
      <c r="T143" s="1"/>
    </row>
    <row r="144" spans="4:20" x14ac:dyDescent="0.25">
      <c r="E144" s="74">
        <v>0.68219799999999997</v>
      </c>
      <c r="F144" s="74"/>
      <c r="G144" s="74"/>
      <c r="H144" s="74"/>
      <c r="I144" s="74"/>
      <c r="J144" s="74"/>
      <c r="K144" s="74"/>
      <c r="L144" s="74"/>
      <c r="M144" s="100" t="s">
        <v>5</v>
      </c>
      <c r="N144" s="75">
        <f>(P144*Variables!C1/Variables!C3)</f>
        <v>0.68219780219780213</v>
      </c>
      <c r="O144" s="104" t="s">
        <v>5</v>
      </c>
      <c r="P144" s="75">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4"/>
      <c r="F145" s="74"/>
      <c r="G145" s="74"/>
      <c r="H145" s="74"/>
      <c r="I145" s="74"/>
      <c r="J145" s="74"/>
      <c r="K145" s="74"/>
      <c r="L145" s="74"/>
      <c r="M145" s="100"/>
      <c r="N145" s="75"/>
      <c r="O145" s="104"/>
      <c r="P145" s="75"/>
      <c r="Q145" s="2"/>
      <c r="R145" s="1"/>
      <c r="S145" s="6"/>
      <c r="T145" s="1"/>
    </row>
    <row r="146" spans="2:20" x14ac:dyDescent="0.25">
      <c r="E146" s="74"/>
      <c r="F146" s="74"/>
      <c r="G146" s="74"/>
      <c r="H146" s="74"/>
      <c r="I146" s="74"/>
      <c r="J146" s="74"/>
      <c r="K146" s="74"/>
      <c r="L146" s="74"/>
      <c r="M146" s="100"/>
      <c r="N146" s="75"/>
      <c r="O146" s="104"/>
      <c r="P146" s="75"/>
      <c r="Q146" s="2" t="s">
        <v>132</v>
      </c>
      <c r="R146" s="13">
        <f>((_xlfn.BITAND(P144,3840))/(2^8))</f>
        <v>6</v>
      </c>
      <c r="S146" s="27" t="str">
        <f>IF(R146&lt;16,CONCATENATE("0x0",(DEC2HEX(R146))),CONCATENATE("0x",(DEC2HEX(R146))))</f>
        <v>0x06</v>
      </c>
      <c r="T146" s="5" t="str">
        <f>DEC2BIN(R146,8)</f>
        <v>00000110</v>
      </c>
    </row>
    <row r="147" spans="2:20" x14ac:dyDescent="0.25">
      <c r="E147" s="56" t="s">
        <v>135</v>
      </c>
      <c r="F147" s="56"/>
      <c r="G147" s="56"/>
      <c r="H147" s="56"/>
      <c r="I147" s="56"/>
      <c r="J147" s="56"/>
      <c r="K147" s="56"/>
      <c r="L147" s="56"/>
      <c r="M147" s="1"/>
      <c r="P147" s="1"/>
      <c r="Q147" s="2"/>
      <c r="R147" s="2"/>
      <c r="S147" s="2"/>
      <c r="T147" s="1"/>
    </row>
    <row r="148" spans="2:20" x14ac:dyDescent="0.25">
      <c r="E148" s="74">
        <v>2.5</v>
      </c>
      <c r="F148" s="74"/>
      <c r="G148" s="74"/>
      <c r="H148" s="74"/>
      <c r="I148" s="74"/>
      <c r="J148" s="74"/>
      <c r="K148" s="74"/>
      <c r="L148" s="74"/>
      <c r="M148" s="100" t="s">
        <v>5</v>
      </c>
      <c r="N148" s="75">
        <f>(P148*Variables!C1/Variables!C3)*Variables!C2</f>
        <v>2.5002197802197834</v>
      </c>
      <c r="O148" s="72" t="s">
        <v>5</v>
      </c>
      <c r="P148" s="75">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4"/>
      <c r="F149" s="74"/>
      <c r="G149" s="74"/>
      <c r="H149" s="74"/>
      <c r="I149" s="74"/>
      <c r="J149" s="74"/>
      <c r="K149" s="74"/>
      <c r="L149" s="74"/>
      <c r="M149" s="100"/>
      <c r="N149" s="75"/>
      <c r="O149" s="72"/>
      <c r="P149" s="75"/>
      <c r="Q149" s="2"/>
      <c r="R149" s="2"/>
      <c r="S149" s="2"/>
      <c r="T149" s="1"/>
    </row>
    <row r="150" spans="2:20" x14ac:dyDescent="0.25">
      <c r="E150" s="74"/>
      <c r="F150" s="74"/>
      <c r="G150" s="74"/>
      <c r="H150" s="74"/>
      <c r="I150" s="74"/>
      <c r="J150" s="74"/>
      <c r="K150" s="74"/>
      <c r="L150" s="74"/>
      <c r="M150" s="100"/>
      <c r="N150" s="75"/>
      <c r="O150" s="72"/>
      <c r="P150" s="75"/>
      <c r="Q150" s="2" t="s">
        <v>134</v>
      </c>
      <c r="R150" s="13">
        <f>((_xlfn.BITAND(P148,3840))/(2^8))</f>
        <v>8</v>
      </c>
      <c r="S150" s="13" t="str">
        <f>IF(R150&lt;16,CONCATENATE("0x0",(DEC2HEX(R150))),CONCATENATE("0x",(DEC2HEX(R150))))</f>
        <v>0x08</v>
      </c>
      <c r="T150" s="5" t="str">
        <f>DEC2BIN(R150,8)</f>
        <v>00001000</v>
      </c>
    </row>
    <row r="151" spans="2:20" x14ac:dyDescent="0.25">
      <c r="E151" s="56" t="s">
        <v>136</v>
      </c>
      <c r="F151" s="56"/>
      <c r="G151" s="56"/>
      <c r="H151" s="56"/>
      <c r="I151" s="56"/>
      <c r="J151" s="56"/>
      <c r="K151" s="56"/>
      <c r="L151" s="56"/>
      <c r="M151" s="11"/>
      <c r="P151" s="11"/>
      <c r="Q151" s="24"/>
      <c r="R151" s="2"/>
      <c r="S151" s="2"/>
      <c r="T151" s="1"/>
    </row>
    <row r="152" spans="2:20" x14ac:dyDescent="0.25">
      <c r="B152" s="39"/>
      <c r="C152" s="39"/>
      <c r="E152" s="71">
        <v>15</v>
      </c>
      <c r="F152" s="71"/>
      <c r="G152" s="71"/>
      <c r="H152" s="71"/>
      <c r="I152" s="71"/>
      <c r="J152" s="71"/>
      <c r="K152" s="71"/>
      <c r="L152" s="71"/>
      <c r="M152" s="16"/>
      <c r="N152" s="22">
        <f>IF(E152&lt;0, "0", IF(E152 &gt; 1024, "1024",ROUND(E152,0)))</f>
        <v>15</v>
      </c>
      <c r="O152" s="22" t="str">
        <f>N155</f>
        <v>s</v>
      </c>
      <c r="P152" s="22">
        <f>N152</f>
        <v>15</v>
      </c>
      <c r="Q152" s="2"/>
      <c r="R152" s="2"/>
      <c r="S152" s="2"/>
      <c r="T152" s="1"/>
    </row>
    <row r="153" spans="2:20" x14ac:dyDescent="0.25">
      <c r="E153" s="85" t="s">
        <v>137</v>
      </c>
      <c r="F153" s="86"/>
      <c r="G153" s="86"/>
      <c r="H153" s="86"/>
      <c r="I153" s="86"/>
      <c r="J153" s="86"/>
      <c r="K153" s="86"/>
      <c r="L153" s="87"/>
      <c r="M153" s="11"/>
      <c r="P153" s="11"/>
      <c r="Q153" s="2" t="s">
        <v>140</v>
      </c>
      <c r="R153" s="13">
        <f>_xlfn.BITAND(P152,255)</f>
        <v>15</v>
      </c>
      <c r="S153" s="13" t="str">
        <f>IF(R153&lt;16,CONCATENATE("0x0",(DEC2HEX(R153))),CONCATENATE("0x",(DEC2HEX(R153))))</f>
        <v>0x0F</v>
      </c>
      <c r="T153" s="5" t="str">
        <f>DEC2BIN(R153,8)</f>
        <v>00001111</v>
      </c>
    </row>
    <row r="154" spans="2:20" x14ac:dyDescent="0.25">
      <c r="E154" s="85" t="s">
        <v>138</v>
      </c>
      <c r="F154" s="86"/>
      <c r="G154" s="86"/>
      <c r="H154" s="87"/>
      <c r="I154" s="85" t="s">
        <v>139</v>
      </c>
      <c r="J154" s="86"/>
      <c r="K154" s="86"/>
      <c r="L154" s="87"/>
      <c r="M154" s="11"/>
      <c r="P154" s="11"/>
      <c r="Q154" s="2"/>
      <c r="R154" s="2"/>
      <c r="S154" s="2"/>
      <c r="T154" s="1"/>
    </row>
    <row r="155" spans="2:20" x14ac:dyDescent="0.25">
      <c r="E155" s="74">
        <v>1</v>
      </c>
      <c r="F155" s="74"/>
      <c r="G155" s="74"/>
      <c r="H155" s="74"/>
      <c r="I155" s="74">
        <v>0</v>
      </c>
      <c r="J155" s="74"/>
      <c r="K155" s="74"/>
      <c r="L155" s="74"/>
      <c r="M155" s="16"/>
      <c r="N155" s="22" t="str">
        <f>IF(((E155*2 +I155) = 3),"min",IF((E155*2+I155 = 2), "s",IF((E155*2+I155=1),"ms","us")))</f>
        <v>s</v>
      </c>
      <c r="O155" s="16"/>
      <c r="P155" s="22">
        <f>IF(N155="min",3,IF(N155="s",2,IF(N155="ms",1,0)))</f>
        <v>2</v>
      </c>
      <c r="Q155" s="16"/>
      <c r="R155" s="16"/>
      <c r="S155" s="16"/>
      <c r="T155" s="1"/>
    </row>
    <row r="156" spans="2:20" x14ac:dyDescent="0.25">
      <c r="E156" s="56" t="s">
        <v>141</v>
      </c>
      <c r="F156" s="56"/>
      <c r="G156" s="56"/>
      <c r="H156" s="56"/>
      <c r="I156" s="56"/>
      <c r="J156" s="56"/>
      <c r="K156" s="56"/>
      <c r="L156" s="56"/>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5" t="s">
        <v>184</v>
      </c>
      <c r="F158" s="86"/>
      <c r="G158" s="86"/>
      <c r="H158" s="86"/>
      <c r="I158" s="86"/>
      <c r="J158" s="86"/>
      <c r="K158" s="86"/>
      <c r="L158" s="87"/>
      <c r="M158" s="10"/>
      <c r="P158" s="10"/>
      <c r="Q158" s="25"/>
      <c r="R158" s="19"/>
      <c r="S158" s="19"/>
      <c r="T158" s="9"/>
    </row>
    <row r="159" spans="2:20" x14ac:dyDescent="0.25">
      <c r="E159" s="53">
        <v>0</v>
      </c>
      <c r="F159" s="55"/>
      <c r="G159" s="53">
        <v>0</v>
      </c>
      <c r="H159" s="55"/>
      <c r="I159" s="53">
        <v>0</v>
      </c>
      <c r="J159" s="55"/>
      <c r="K159" s="53">
        <v>1</v>
      </c>
      <c r="L159" s="55"/>
      <c r="M159" s="2"/>
      <c r="N159" s="34">
        <f>BIN2DEC(CONCATENATE(E159,G159,I159,K159))</f>
        <v>1</v>
      </c>
      <c r="O159" s="2" t="s">
        <v>145</v>
      </c>
      <c r="P159" s="13">
        <f>N159</f>
        <v>1</v>
      </c>
      <c r="Q159" s="2"/>
      <c r="R159" s="2"/>
      <c r="S159" s="2"/>
      <c r="T159" s="2"/>
    </row>
    <row r="160" spans="2:20" x14ac:dyDescent="0.25">
      <c r="E160" s="85" t="s">
        <v>144</v>
      </c>
      <c r="F160" s="86"/>
      <c r="G160" s="86"/>
      <c r="H160" s="86"/>
      <c r="I160" s="86"/>
      <c r="J160" s="86"/>
      <c r="K160" s="86"/>
      <c r="L160" s="87"/>
      <c r="M160" s="10"/>
      <c r="P160" s="10"/>
      <c r="Q160" s="25" t="s">
        <v>146</v>
      </c>
      <c r="R160" s="32">
        <f>(P161*16)+(P159)</f>
        <v>193</v>
      </c>
      <c r="S160" s="32" t="str">
        <f>IF(R160&lt;16,CONCATENATE("0x0",(DEC2HEX(R160))),CONCATENATE("0x",(DEC2HEX(R160))))</f>
        <v>0xC1</v>
      </c>
      <c r="T160" s="5" t="str">
        <f>DEC2BIN(R160,8)</f>
        <v>11000001</v>
      </c>
    </row>
    <row r="161" spans="2:20" x14ac:dyDescent="0.25">
      <c r="E161" s="53">
        <v>1</v>
      </c>
      <c r="F161" s="55"/>
      <c r="G161" s="53">
        <v>1</v>
      </c>
      <c r="H161" s="55"/>
      <c r="I161" s="53">
        <v>0</v>
      </c>
      <c r="J161" s="55"/>
      <c r="K161" s="53">
        <v>0</v>
      </c>
      <c r="L161" s="55"/>
      <c r="M161" s="2"/>
      <c r="N161" s="34">
        <f>16*(BIN2DEC(CONCATENATE(E161,G161,I161,K161)))</f>
        <v>192</v>
      </c>
      <c r="O161" s="2" t="s">
        <v>145</v>
      </c>
      <c r="P161" s="34">
        <f>BIN2DEC(CONCATENATE(E161,G161,I161,K161))</f>
        <v>12</v>
      </c>
      <c r="Q161" s="2"/>
      <c r="R161" s="2"/>
      <c r="S161" s="2"/>
      <c r="T161" s="2"/>
    </row>
    <row r="162" spans="2:20" x14ac:dyDescent="0.25">
      <c r="E162" s="56" t="s">
        <v>147</v>
      </c>
      <c r="F162" s="56"/>
      <c r="G162" s="56"/>
      <c r="H162" s="56"/>
      <c r="I162" s="56"/>
      <c r="J162" s="56"/>
      <c r="K162" s="56"/>
      <c r="L162" s="56"/>
      <c r="M162" s="1"/>
      <c r="P162" s="10"/>
      <c r="Q162" s="25"/>
      <c r="R162" s="19"/>
      <c r="S162" s="2"/>
      <c r="T162" s="1"/>
    </row>
    <row r="163" spans="2:20" x14ac:dyDescent="0.25">
      <c r="E163" s="71" t="s">
        <v>151</v>
      </c>
      <c r="F163" s="71"/>
      <c r="G163" s="71"/>
      <c r="H163" s="71"/>
      <c r="I163" s="71"/>
      <c r="J163" s="71"/>
      <c r="K163" s="71"/>
      <c r="L163" s="71"/>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85" t="s">
        <v>171</v>
      </c>
      <c r="F166" s="86"/>
      <c r="G166" s="86"/>
      <c r="H166" s="86"/>
      <c r="I166" s="86"/>
      <c r="J166" s="86"/>
      <c r="K166" s="86"/>
      <c r="L166" s="87"/>
      <c r="M166" s="9"/>
      <c r="P166" s="1"/>
      <c r="Q166" s="2"/>
      <c r="R166" s="2"/>
      <c r="S166" s="2"/>
      <c r="T166" s="1"/>
    </row>
    <row r="167" spans="2:20" x14ac:dyDescent="0.25">
      <c r="E167" s="64" t="s">
        <v>164</v>
      </c>
      <c r="F167" s="64" t="s">
        <v>55</v>
      </c>
      <c r="G167" s="64" t="s">
        <v>165</v>
      </c>
      <c r="H167" s="64" t="s">
        <v>166</v>
      </c>
      <c r="I167" s="64" t="s">
        <v>55</v>
      </c>
      <c r="J167" s="64" t="s">
        <v>167</v>
      </c>
      <c r="K167" s="64" t="s">
        <v>168</v>
      </c>
      <c r="L167" s="105" t="s">
        <v>169</v>
      </c>
      <c r="M167" s="72"/>
      <c r="N167" s="35"/>
      <c r="O167" s="35"/>
      <c r="P167" s="72"/>
      <c r="Q167" s="72"/>
      <c r="R167" s="72"/>
      <c r="S167" s="72"/>
      <c r="T167" s="72"/>
    </row>
    <row r="168" spans="2:20" x14ac:dyDescent="0.25">
      <c r="E168" s="65"/>
      <c r="F168" s="65"/>
      <c r="G168" s="65"/>
      <c r="H168" s="65"/>
      <c r="I168" s="65"/>
      <c r="J168" s="65"/>
      <c r="K168" s="65"/>
      <c r="L168" s="106"/>
      <c r="M168" s="64"/>
      <c r="N168" s="35"/>
      <c r="O168" s="35"/>
      <c r="P168" s="64"/>
      <c r="Q168" s="64"/>
      <c r="R168" s="64"/>
      <c r="S168" s="64"/>
      <c r="T168" s="64"/>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5" t="s">
        <v>200</v>
      </c>
      <c r="F170" s="86"/>
      <c r="G170" s="86"/>
      <c r="H170" s="86"/>
      <c r="I170" s="86"/>
      <c r="J170" s="86"/>
      <c r="K170" s="86"/>
      <c r="L170" s="87"/>
      <c r="M170" s="2"/>
      <c r="N170" s="3"/>
      <c r="O170" s="3"/>
      <c r="P170" s="13"/>
      <c r="Q170" s="2"/>
      <c r="R170" s="13"/>
      <c r="S170" s="13"/>
      <c r="T170" s="5"/>
    </row>
    <row r="171" spans="2:20" x14ac:dyDescent="0.25">
      <c r="E171" s="64" t="s">
        <v>173</v>
      </c>
      <c r="F171" s="64" t="s">
        <v>174</v>
      </c>
      <c r="G171" s="64" t="s">
        <v>175</v>
      </c>
      <c r="H171" s="64" t="s">
        <v>176</v>
      </c>
      <c r="I171" s="64" t="s">
        <v>177</v>
      </c>
      <c r="J171" s="64" t="s">
        <v>55</v>
      </c>
      <c r="K171" s="64" t="s">
        <v>55</v>
      </c>
      <c r="L171" s="105" t="s">
        <v>178</v>
      </c>
      <c r="M171" s="72"/>
      <c r="N171" s="35"/>
      <c r="O171" s="35"/>
      <c r="P171" s="72"/>
      <c r="Q171" s="72"/>
      <c r="R171" s="72"/>
      <c r="S171" s="72"/>
      <c r="T171" s="72"/>
    </row>
    <row r="172" spans="2:20" x14ac:dyDescent="0.25">
      <c r="E172" s="65"/>
      <c r="F172" s="65"/>
      <c r="G172" s="65"/>
      <c r="H172" s="65"/>
      <c r="I172" s="65"/>
      <c r="J172" s="65"/>
      <c r="K172" s="65"/>
      <c r="L172" s="106"/>
      <c r="M172" s="64"/>
      <c r="N172" s="35"/>
      <c r="O172" s="35"/>
      <c r="P172" s="64"/>
      <c r="Q172" s="64"/>
      <c r="R172" s="64"/>
      <c r="S172" s="64"/>
      <c r="T172" s="64"/>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32:L32"/>
    <mergeCell ref="E33:L35"/>
    <mergeCell ref="M33:M35"/>
    <mergeCell ref="N33:N35"/>
    <mergeCell ref="O33:O35"/>
    <mergeCell ref="P33:P35"/>
    <mergeCell ref="E28:L28"/>
    <mergeCell ref="M29:M31"/>
    <mergeCell ref="E29:L31"/>
    <mergeCell ref="N29:N31"/>
    <mergeCell ref="O29:O31"/>
    <mergeCell ref="P29:P31"/>
    <mergeCell ref="E38:L38"/>
    <mergeCell ref="E39:H39"/>
    <mergeCell ref="I39:L39"/>
    <mergeCell ref="E41:L41"/>
    <mergeCell ref="E42:L42"/>
    <mergeCell ref="E40:H40"/>
    <mergeCell ref="I40:L40"/>
    <mergeCell ref="E37:L37"/>
    <mergeCell ref="E36:L36"/>
    <mergeCell ref="E49:L49"/>
    <mergeCell ref="E50:L50"/>
    <mergeCell ref="E51:L51"/>
    <mergeCell ref="E52:L52"/>
    <mergeCell ref="E43:L43"/>
    <mergeCell ref="E44:H44"/>
    <mergeCell ref="I44:L44"/>
    <mergeCell ref="E46:L46"/>
    <mergeCell ref="E47:L47"/>
    <mergeCell ref="E48:L48"/>
    <mergeCell ref="E45:H45"/>
    <mergeCell ref="I45:L45"/>
    <mergeCell ref="E55:L55"/>
    <mergeCell ref="E56:L56"/>
    <mergeCell ref="E57:L57"/>
    <mergeCell ref="E58:G58"/>
    <mergeCell ref="H58:J58"/>
    <mergeCell ref="K58:L58"/>
    <mergeCell ref="E53:G53"/>
    <mergeCell ref="E54:G54"/>
    <mergeCell ref="H53:J53"/>
    <mergeCell ref="K53:L53"/>
    <mergeCell ref="E64:G64"/>
    <mergeCell ref="E65:L65"/>
    <mergeCell ref="E66:L68"/>
    <mergeCell ref="M66:M68"/>
    <mergeCell ref="E59:G59"/>
    <mergeCell ref="E60:L60"/>
    <mergeCell ref="E61:L61"/>
    <mergeCell ref="E62:L62"/>
    <mergeCell ref="E63:G63"/>
    <mergeCell ref="H63:J63"/>
    <mergeCell ref="K63:L63"/>
    <mergeCell ref="N66:N68"/>
    <mergeCell ref="O66:O68"/>
    <mergeCell ref="P66:P68"/>
    <mergeCell ref="E69:L69"/>
    <mergeCell ref="E70:L72"/>
    <mergeCell ref="M70:M72"/>
    <mergeCell ref="N70:N72"/>
    <mergeCell ref="O70:O72"/>
    <mergeCell ref="P70:P72"/>
    <mergeCell ref="N78:N80"/>
    <mergeCell ref="O78:O80"/>
    <mergeCell ref="P78:P80"/>
    <mergeCell ref="E73:L73"/>
    <mergeCell ref="E74:L76"/>
    <mergeCell ref="M74:M76"/>
    <mergeCell ref="N74:N76"/>
    <mergeCell ref="O74:O76"/>
    <mergeCell ref="P74:P76"/>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P96:P98"/>
    <mergeCell ref="E99:L99"/>
    <mergeCell ref="E100:L102"/>
    <mergeCell ref="M100:M102"/>
    <mergeCell ref="N100:N102"/>
    <mergeCell ref="O100:O102"/>
    <mergeCell ref="P100:P102"/>
    <mergeCell ref="E95:L95"/>
    <mergeCell ref="E96:L98"/>
    <mergeCell ref="M96:M98"/>
    <mergeCell ref="N96:N98"/>
    <mergeCell ref="O96:O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M124:M126"/>
    <mergeCell ref="N124:N126"/>
    <mergeCell ref="O124:O126"/>
    <mergeCell ref="P124:P126"/>
    <mergeCell ref="E119:L119"/>
    <mergeCell ref="E120:L122"/>
    <mergeCell ref="M120:M122"/>
    <mergeCell ref="N120:N122"/>
    <mergeCell ref="O120:O122"/>
    <mergeCell ref="P120:P122"/>
    <mergeCell ref="M132:M134"/>
    <mergeCell ref="N132:N134"/>
    <mergeCell ref="O132:O134"/>
    <mergeCell ref="P132:P134"/>
    <mergeCell ref="E127:L127"/>
    <mergeCell ref="E128:L130"/>
    <mergeCell ref="M128:M130"/>
    <mergeCell ref="N128:N130"/>
    <mergeCell ref="O128:O130"/>
    <mergeCell ref="P128:P130"/>
    <mergeCell ref="N140:N142"/>
    <mergeCell ref="O140:O142"/>
    <mergeCell ref="P140:P142"/>
    <mergeCell ref="E135:L135"/>
    <mergeCell ref="E136:L138"/>
    <mergeCell ref="M136:M138"/>
    <mergeCell ref="N136:N138"/>
    <mergeCell ref="O136:O138"/>
    <mergeCell ref="P136:P138"/>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7" t="s">
        <v>185</v>
      </c>
      <c r="C16" s="107"/>
      <c r="D16" s="107"/>
      <c r="E16" s="107"/>
      <c r="F16" s="107"/>
    </row>
  </sheetData>
  <mergeCells count="1">
    <mergeCell ref="B16:F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8" t="s">
        <v>193</v>
      </c>
      <c r="D36" s="108"/>
      <c r="E36" s="108"/>
      <c r="F36" s="108"/>
      <c r="G36" s="108"/>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BMS ISL MAREK</vt:lpstr>
      <vt:lpstr>test</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Szymczak Marek</cp:lastModifiedBy>
  <dcterms:created xsi:type="dcterms:W3CDTF">2018-11-28T20:21:04Z</dcterms:created>
  <dcterms:modified xsi:type="dcterms:W3CDTF">2024-11-04T13:49:54Z</dcterms:modified>
</cp:coreProperties>
</file>